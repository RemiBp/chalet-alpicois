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mibarbier1/Documents/"/>
    </mc:Choice>
  </mc:AlternateContent>
  <xr:revisionPtr revIDLastSave="0" documentId="8_{EEEE2E8E-6709-164F-993A-589CBB9CA30E}" xr6:coauthVersionLast="47" xr6:coauthVersionMax="47" xr10:uidLastSave="{00000000-0000-0000-0000-000000000000}"/>
  <bookViews>
    <workbookView xWindow="2700" yWindow="660" windowWidth="23260" windowHeight="12460" tabRatio="1000" xr2:uid="{26CFFB03-5E5E-4C6F-A8B3-4C7E035B1ACC}"/>
  </bookViews>
  <sheets>
    <sheet name="Tarifs 2027" sheetId="25" r:id="rId1"/>
    <sheet name="Prop tarifs Alp Agence" sheetId="20" r:id="rId2"/>
    <sheet name="Simulations hors agence" sheetId="21" r:id="rId3"/>
    <sheet name="Questions Snow" sheetId="22" r:id="rId4"/>
    <sheet name="A faire" sheetId="24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5" l="1"/>
  <c r="F27" i="25"/>
  <c r="E27" i="25"/>
  <c r="D25" i="25"/>
  <c r="D24" i="25"/>
  <c r="D23" i="25"/>
  <c r="H23" i="25"/>
  <c r="D22" i="25"/>
  <c r="D21" i="25"/>
  <c r="D20" i="25"/>
  <c r="D19" i="25"/>
  <c r="D18" i="25"/>
  <c r="D17" i="25"/>
  <c r="D16" i="25"/>
  <c r="D15" i="25"/>
  <c r="D14" i="25"/>
  <c r="D13" i="25"/>
  <c r="H13" i="25"/>
  <c r="D12" i="25"/>
  <c r="D11" i="25"/>
  <c r="H11" i="25"/>
  <c r="D10" i="25"/>
  <c r="D9" i="25"/>
  <c r="D8" i="25"/>
  <c r="D7" i="25"/>
  <c r="H7" i="25"/>
  <c r="X29" i="21"/>
  <c r="X28" i="21"/>
  <c r="X27" i="21"/>
  <c r="R26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U31" i="21"/>
  <c r="T31" i="21"/>
  <c r="S31" i="21"/>
  <c r="P31" i="21"/>
  <c r="O31" i="21"/>
  <c r="N31" i="21"/>
  <c r="M31" i="21"/>
  <c r="G31" i="21"/>
  <c r="F31" i="21"/>
  <c r="E31" i="21"/>
  <c r="R11" i="21"/>
  <c r="D27" i="25"/>
  <c r="H17" i="25"/>
  <c r="H25" i="25"/>
  <c r="H21" i="25"/>
  <c r="H14" i="25"/>
  <c r="H22" i="25"/>
  <c r="H10" i="25"/>
  <c r="H9" i="25"/>
  <c r="H18" i="25"/>
  <c r="H15" i="25"/>
  <c r="H19" i="25"/>
  <c r="H12" i="25"/>
  <c r="H24" i="25"/>
  <c r="H8" i="25"/>
  <c r="H16" i="25"/>
  <c r="H20" i="25"/>
  <c r="W14" i="21"/>
  <c r="Q15" i="2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3" i="20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7" i="21"/>
  <c r="R28" i="21"/>
  <c r="R29" i="21"/>
  <c r="W29" i="21"/>
  <c r="W28" i="21"/>
  <c r="W27" i="21"/>
  <c r="W26" i="21"/>
  <c r="W25" i="21"/>
  <c r="W24" i="21"/>
  <c r="W23" i="21"/>
  <c r="W22" i="21"/>
  <c r="W21" i="21"/>
  <c r="W20" i="21"/>
  <c r="W19" i="21"/>
  <c r="W17" i="21"/>
  <c r="W16" i="21"/>
  <c r="W15" i="21"/>
  <c r="W13" i="21"/>
  <c r="W12" i="21"/>
  <c r="W11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4" i="21"/>
  <c r="Q13" i="21"/>
  <c r="Q12" i="21"/>
  <c r="Q11" i="21"/>
  <c r="D29" i="21"/>
  <c r="J29" i="21"/>
  <c r="D28" i="21"/>
  <c r="J28" i="21"/>
  <c r="D27" i="21"/>
  <c r="J27" i="21"/>
  <c r="D26" i="21"/>
  <c r="J26" i="21"/>
  <c r="D25" i="21"/>
  <c r="J25" i="21"/>
  <c r="D24" i="21"/>
  <c r="J24" i="21"/>
  <c r="D23" i="21"/>
  <c r="J23" i="21"/>
  <c r="D22" i="21"/>
  <c r="J22" i="21"/>
  <c r="D21" i="21"/>
  <c r="J21" i="21"/>
  <c r="D20" i="21"/>
  <c r="J20" i="21"/>
  <c r="D19" i="21"/>
  <c r="J19" i="21"/>
  <c r="D18" i="21"/>
  <c r="J18" i="21"/>
  <c r="D17" i="21"/>
  <c r="J17" i="21"/>
  <c r="D16" i="21"/>
  <c r="J16" i="21"/>
  <c r="D15" i="21"/>
  <c r="J15" i="21"/>
  <c r="D14" i="21"/>
  <c r="J14" i="21"/>
  <c r="D13" i="21"/>
  <c r="J13" i="21"/>
  <c r="D12" i="21"/>
  <c r="J12" i="21"/>
  <c r="D11" i="21"/>
  <c r="H27" i="25"/>
  <c r="R31" i="21"/>
  <c r="J11" i="21"/>
  <c r="J31" i="21"/>
  <c r="D31" i="21"/>
  <c r="Q31" i="21"/>
  <c r="AB25" i="21"/>
  <c r="Y23" i="21"/>
  <c r="AB12" i="21"/>
  <c r="Y25" i="21"/>
  <c r="AB13" i="21"/>
  <c r="Y21" i="21"/>
  <c r="Y13" i="21"/>
  <c r="I26" i="21"/>
  <c r="Y22" i="21"/>
  <c r="Y27" i="21"/>
  <c r="Y26" i="21"/>
  <c r="Y20" i="21"/>
  <c r="Y24" i="21"/>
  <c r="Y19" i="21"/>
  <c r="Y15" i="21"/>
  <c r="W18" i="21"/>
  <c r="W31" i="21"/>
  <c r="I12" i="21"/>
  <c r="I22" i="21"/>
  <c r="I18" i="21"/>
  <c r="I20" i="21"/>
  <c r="I21" i="21"/>
  <c r="I19" i="21"/>
  <c r="I24" i="21"/>
  <c r="I11" i="21"/>
  <c r="I23" i="21"/>
  <c r="I25" i="21"/>
  <c r="I14" i="21"/>
  <c r="I13" i="21"/>
  <c r="I15" i="21"/>
  <c r="I27" i="21"/>
  <c r="I16" i="21"/>
  <c r="I28" i="21"/>
  <c r="I17" i="21"/>
  <c r="I29" i="21"/>
  <c r="AH15" i="21"/>
  <c r="AG15" i="21"/>
  <c r="AG20" i="21"/>
  <c r="AH20" i="21"/>
  <c r="AH28" i="21"/>
  <c r="AG28" i="21"/>
  <c r="AH26" i="21"/>
  <c r="AG26" i="21"/>
  <c r="AH16" i="21"/>
  <c r="AG16" i="21"/>
  <c r="AG18" i="21"/>
  <c r="AH18" i="21"/>
  <c r="AH27" i="21"/>
  <c r="AG27" i="21"/>
  <c r="AG22" i="21"/>
  <c r="AH22" i="21"/>
  <c r="AG12" i="21"/>
  <c r="AH12" i="21"/>
  <c r="AG13" i="21"/>
  <c r="AH13" i="21"/>
  <c r="AA14" i="21"/>
  <c r="AH14" i="21"/>
  <c r="AG14" i="21"/>
  <c r="AG25" i="21"/>
  <c r="AH25" i="21"/>
  <c r="AG23" i="21"/>
  <c r="AH23" i="21"/>
  <c r="AH11" i="21"/>
  <c r="AG11" i="21"/>
  <c r="AD24" i="21"/>
  <c r="AG24" i="21"/>
  <c r="AH24" i="21"/>
  <c r="AH29" i="21"/>
  <c r="AG29" i="21"/>
  <c r="AG19" i="21"/>
  <c r="AH19" i="21"/>
  <c r="AH17" i="21"/>
  <c r="AG17" i="21"/>
  <c r="AG21" i="21"/>
  <c r="AH21" i="21"/>
  <c r="AB23" i="21"/>
  <c r="Y11" i="21"/>
  <c r="X31" i="21"/>
  <c r="I31" i="21"/>
  <c r="AH31" i="21"/>
  <c r="Y12" i="21"/>
  <c r="AB11" i="21"/>
  <c r="AB22" i="21"/>
  <c r="AB20" i="21"/>
  <c r="AB21" i="21"/>
  <c r="Y29" i="21"/>
  <c r="AB29" i="21"/>
  <c r="AB19" i="21"/>
  <c r="Y28" i="21"/>
  <c r="AB28" i="21"/>
  <c r="AB15" i="21"/>
  <c r="AB27" i="21"/>
  <c r="AB26" i="21"/>
  <c r="AB24" i="21"/>
  <c r="Y18" i="21"/>
  <c r="AB18" i="21"/>
  <c r="Y17" i="21"/>
  <c r="AB17" i="21"/>
  <c r="Y16" i="21"/>
  <c r="AB16" i="21"/>
  <c r="K29" i="21"/>
  <c r="AA29" i="21"/>
  <c r="K17" i="21"/>
  <c r="AA17" i="21"/>
  <c r="K15" i="21"/>
  <c r="AA15" i="21"/>
  <c r="AE11" i="21"/>
  <c r="AA11" i="21"/>
  <c r="AA26" i="21"/>
  <c r="AA31" i="21"/>
  <c r="AE16" i="21"/>
  <c r="AA16" i="21"/>
  <c r="AE12" i="21"/>
  <c r="AA12" i="21"/>
  <c r="AE25" i="21"/>
  <c r="AA25" i="21"/>
  <c r="K19" i="21"/>
  <c r="AA19" i="21"/>
  <c r="AE21" i="21"/>
  <c r="AA21" i="21"/>
  <c r="AE27" i="21"/>
  <c r="AA27" i="21"/>
  <c r="AE13" i="21"/>
  <c r="AA13" i="21"/>
  <c r="AE26" i="21"/>
  <c r="K23" i="21"/>
  <c r="AA23" i="21"/>
  <c r="K24" i="21"/>
  <c r="AA24" i="21"/>
  <c r="K28" i="21"/>
  <c r="AA28" i="21"/>
  <c r="AE20" i="21"/>
  <c r="AA20" i="21"/>
  <c r="K18" i="21"/>
  <c r="AA18" i="21"/>
  <c r="K22" i="21"/>
  <c r="AA22" i="21"/>
  <c r="AD11" i="21"/>
  <c r="Y14" i="21"/>
  <c r="AB14" i="21"/>
  <c r="AE14" i="21"/>
  <c r="K26" i="21"/>
  <c r="K25" i="21"/>
  <c r="K12" i="21"/>
  <c r="K20" i="21"/>
  <c r="K21" i="21"/>
  <c r="K13" i="21"/>
  <c r="K14" i="21"/>
  <c r="AE18" i="21"/>
  <c r="K16" i="21"/>
  <c r="AE24" i="21"/>
  <c r="K27" i="21"/>
  <c r="K11" i="21"/>
  <c r="AE19" i="21"/>
  <c r="AD19" i="21"/>
  <c r="AD21" i="21"/>
  <c r="AE15" i="21"/>
  <c r="AD15" i="21"/>
  <c r="AD26" i="21"/>
  <c r="AD25" i="21"/>
  <c r="AD14" i="21"/>
  <c r="AE29" i="21"/>
  <c r="AD29" i="21"/>
  <c r="AD13" i="21"/>
  <c r="AD27" i="21"/>
  <c r="AE22" i="21"/>
  <c r="AD22" i="21"/>
  <c r="AD12" i="21"/>
  <c r="AE23" i="21"/>
  <c r="AD23" i="21"/>
  <c r="AD20" i="21"/>
  <c r="AD16" i="21"/>
  <c r="AE17" i="21"/>
  <c r="AD17" i="21"/>
  <c r="AD18" i="21"/>
  <c r="AE28" i="21"/>
  <c r="AD28" i="21"/>
  <c r="AG31" i="21"/>
  <c r="AB31" i="21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</calcChain>
</file>

<file path=xl/sharedStrings.xml><?xml version="1.0" encoding="utf-8"?>
<sst xmlns="http://schemas.openxmlformats.org/spreadsheetml/2006/main" count="136" uniqueCount="87">
  <si>
    <t>France</t>
  </si>
  <si>
    <t>UK</t>
  </si>
  <si>
    <t>Variation</t>
  </si>
  <si>
    <t>UK, France</t>
  </si>
  <si>
    <t>France Paris</t>
  </si>
  <si>
    <t>UK, France Paris</t>
  </si>
  <si>
    <t>Tarifs 2025/26</t>
  </si>
  <si>
    <t>Vacances 2026/27</t>
  </si>
  <si>
    <t>Frais de gestion</t>
  </si>
  <si>
    <t>Hors taxes de séjour, draps</t>
  </si>
  <si>
    <t>Total client</t>
  </si>
  <si>
    <t>(1) : taux moyen Alp Agence calculé de 24,5% en 2025/26 sur l'ensemble des locations. Comprend les prestations annexes</t>
  </si>
  <si>
    <t>comme panier accueil...</t>
  </si>
  <si>
    <t>Part proprio (1)</t>
  </si>
  <si>
    <t>Tarifs 2026/27</t>
  </si>
  <si>
    <t>Accueil / Départ</t>
  </si>
  <si>
    <t>Panier accueil</t>
  </si>
  <si>
    <t>90€ arrivée ET départ</t>
  </si>
  <si>
    <t>Panier de bienvenue</t>
  </si>
  <si>
    <t>Règlements CESU : comment cela fonctionne ?</t>
  </si>
  <si>
    <t>Location draps : elle s'en occupe. Quel prix ?</t>
  </si>
  <si>
    <t>Presta supp (2)</t>
  </si>
  <si>
    <t>(2) : une prestation tous les 15 jours. Soit 90€/4 (90€ pour entrée ET sortie)</t>
  </si>
  <si>
    <t>Proposition 2026/27
Alp Agence</t>
  </si>
  <si>
    <t>Proposition 2026/27
Loc directe</t>
  </si>
  <si>
    <t>Qui paye les produits ménagers ?</t>
  </si>
  <si>
    <t>Est-ce qu'il y a la possibilité de commander des forfaits avec tarifs réduits ?</t>
  </si>
  <si>
    <t>Tarifs hors plateforme</t>
  </si>
  <si>
    <t>Ménage fin de séjour</t>
  </si>
  <si>
    <t>(4) : Garantie propriétaire étendue : 200€ / an estimée. Soit 15€ / semaine</t>
  </si>
  <si>
    <t>Partage honoraires (5)</t>
  </si>
  <si>
    <t>(5) :  2200€ / an lissé sur les 3 dernières années : soit 115€ / semaine</t>
  </si>
  <si>
    <t>Ménage fin de séjour (6)</t>
  </si>
  <si>
    <t>(6) : Seuls 3 clients n'ont pas pris le ménage en 2025/26</t>
  </si>
  <si>
    <t>Gestion paiement (3)</t>
  </si>
  <si>
    <t>% proprio</t>
  </si>
  <si>
    <t>Variation proprio
€</t>
  </si>
  <si>
    <t>Variation client
€</t>
  </si>
  <si>
    <t>Variation client
%</t>
  </si>
  <si>
    <t>Variation proprio
%</t>
  </si>
  <si>
    <t>Montant dépenses permettant une réduction d'impôt : 12000€. Pour le foyer fiscal. Ces dépenses ouvrent une réduction de 50%</t>
  </si>
  <si>
    <t>Dépenses femme de ménage Paris : 600*11=&gt; 6500 euros environ</t>
  </si>
  <si>
    <t>Lits parapluie / chaise haute</t>
  </si>
  <si>
    <t>Assurance</t>
  </si>
  <si>
    <t>- propriétaire</t>
  </si>
  <si>
    <t>- locataire</t>
  </si>
  <si>
    <t>Ramonage</t>
  </si>
  <si>
    <t>Consuel pour électricité</t>
  </si>
  <si>
    <t>Lits faits ? Non pas possible</t>
  </si>
  <si>
    <t>Tarifs chez un loueur de ski</t>
  </si>
  <si>
    <t>- 0970834833</t>
  </si>
  <si>
    <t>- Prix pour vérifier installation et/ou tableeau</t>
  </si>
  <si>
    <t>(3) : considérée à 2% via Stripe. Permet de gérer la caution. 1,5% carte européenne, 2,5% britannique. 2% retenu en moyenne</t>
  </si>
  <si>
    <t>Caution
(7)</t>
  </si>
  <si>
    <t>Total</t>
  </si>
  <si>
    <t>(8) : Bois, produit douche, ménage, produit lave vaisselle</t>
  </si>
  <si>
    <t>Montée en gamme
(8)</t>
  </si>
  <si>
    <t>Dimanche</t>
  </si>
  <si>
    <t>Var. proprio tarifs 2026
%</t>
  </si>
  <si>
    <t>Var. proprio tarifs 2026
€</t>
  </si>
  <si>
    <t>(7) : Via Swikly. Considée à 2%. Soit pour 1000€. Montant retenu correspond à une caution non utilisée</t>
  </si>
  <si>
    <t>Assurance proprio (4)</t>
  </si>
  <si>
    <t>Total client 2025/26</t>
  </si>
  <si>
    <t>(1) : Seuls 3 clients n'ont pas pris le ménage en 2025/26</t>
  </si>
  <si>
    <t>Tarifs bruts 2025/26</t>
  </si>
  <si>
    <t>Ménage fin de séjour
(1)</t>
  </si>
  <si>
    <t>Réservations</t>
  </si>
  <si>
    <t>Pour nous</t>
  </si>
  <si>
    <t>Famille Laffaure</t>
  </si>
  <si>
    <t>Famille Grellet</t>
  </si>
  <si>
    <t>Michaël Truijen</t>
  </si>
  <si>
    <t>Famille Panuel</t>
  </si>
  <si>
    <t>Vacances</t>
  </si>
  <si>
    <t>Milon</t>
  </si>
  <si>
    <t>01</t>
  </si>
  <si>
    <t>02</t>
  </si>
  <si>
    <t>03</t>
  </si>
  <si>
    <t>Numéro facture acompte</t>
  </si>
  <si>
    <t>04</t>
  </si>
  <si>
    <t>Numéro de contrat</t>
  </si>
  <si>
    <t>05</t>
  </si>
  <si>
    <t>Acompte</t>
  </si>
  <si>
    <t>Paiement acompte</t>
  </si>
  <si>
    <t>OK</t>
  </si>
  <si>
    <t>Contrat signé</t>
  </si>
  <si>
    <t>Cunningham Jack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</si>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</sst>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0" fillId="0" borderId="0" xfId="1" applyNumberFormat="1" applyFont="1" applyBorder="1" applyAlignment="1">
      <alignment vertical="center" wrapText="1"/>
    </xf>
    <xf numFmtId="164" fontId="0" fillId="2" borderId="0" xfId="1" applyNumberFormat="1" applyFont="1" applyFill="1" applyBorder="1" applyAlignment="1">
      <alignment vertical="center" wrapText="1"/>
    </xf>
    <xf numFmtId="164" fontId="2" fillId="2" borderId="0" xfId="1" applyNumberFormat="1" applyFill="1" applyBorder="1" applyAlignment="1">
      <alignment vertical="center" wrapText="1"/>
    </xf>
    <xf numFmtId="164" fontId="2" fillId="0" borderId="0" xfId="1" applyNumberFormat="1" applyBorder="1" applyAlignment="1">
      <alignment vertical="center" wrapText="1"/>
    </xf>
    <xf numFmtId="1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wrapText="1"/>
    </xf>
    <xf numFmtId="2" fontId="4" fillId="0" borderId="0" xfId="0" applyNumberFormat="1" applyFont="1" applyAlignment="1">
      <alignment horizontal="right" vertical="top" wrapText="1"/>
    </xf>
    <xf numFmtId="14" fontId="0" fillId="2" borderId="0" xfId="0" applyNumberFormat="1" applyFill="1"/>
    <xf numFmtId="0" fontId="5" fillId="0" borderId="0" xfId="0" applyFont="1"/>
    <xf numFmtId="164" fontId="1" fillId="0" borderId="0" xfId="1" applyNumberFormat="1" applyFont="1" applyBorder="1" applyAlignment="1">
      <alignment horizontal="right"/>
    </xf>
    <xf numFmtId="164" fontId="1" fillId="2" borderId="0" xfId="1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top" wrapText="1"/>
    </xf>
    <xf numFmtId="1" fontId="1" fillId="2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0" xfId="0" quotePrefix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9" fontId="1" fillId="0" borderId="0" xfId="1" applyFont="1" applyBorder="1" applyAlignment="1">
      <alignment horizontal="right"/>
    </xf>
    <xf numFmtId="9" fontId="1" fillId="2" borderId="0" xfId="1" applyFont="1" applyFill="1" applyBorder="1" applyAlignment="1">
      <alignment horizontal="right"/>
    </xf>
    <xf numFmtId="9" fontId="1" fillId="0" borderId="0" xfId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 vertical="top" wrapText="1"/>
    </xf>
    <xf numFmtId="2" fontId="3" fillId="4" borderId="0" xfId="0" applyNumberFormat="1" applyFont="1" applyFill="1" applyAlignment="1">
      <alignment horizontal="right" vertical="top" wrapText="1"/>
    </xf>
    <xf numFmtId="1" fontId="1" fillId="0" borderId="1" xfId="0" applyNumberFormat="1" applyFont="1" applyBorder="1" applyAlignment="1">
      <alignment horizontal="right"/>
    </xf>
    <xf numFmtId="14" fontId="3" fillId="0" borderId="0" xfId="0" applyNumberFormat="1" applyFont="1" applyAlignment="1">
      <alignment horizontal="right" vertical="top" wrapText="1"/>
    </xf>
    <xf numFmtId="9" fontId="0" fillId="0" borderId="0" xfId="1" applyFont="1" applyBorder="1"/>
    <xf numFmtId="0" fontId="0" fillId="5" borderId="0" xfId="0" applyFill="1"/>
    <xf numFmtId="0" fontId="0" fillId="0" borderId="0" xfId="0" quotePrefix="1" applyAlignment="1">
      <alignment horizontal="right"/>
    </xf>
    <xf numFmtId="49" fontId="0" fillId="0" borderId="0" xfId="0" quotePrefix="1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 vertical="center"/>
    </xf>
    <xf numFmtId="49" fontId="0" fillId="0" borderId="0" xfId="0" quotePrefix="1" applyNumberFormat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ange0-my.sharepoint.com/personal/gilles_barbier_orange_com/Documents/Documents/Dossier%20personnel/La%20Plagne/L'Alpicois%20-%20Juin%202021/Location%20saisonni&#232;re/2026-27/Locations%20suivi%202026-27.xlsx" TargetMode="External"/><Relationship Id="rId1" Type="http://schemas.openxmlformats.org/officeDocument/2006/relationships/externalLinkPath" Target="https://orange0-my.sharepoint.com/personal/gilles_barbier_orange_com/Documents/Documents/Dossier%20personnel/La%20Plagne/L'Alpicois%20-%20Juin%202021/Location%20saisonni&#232;re/2026-27/Locations%20suivi%2020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èse histo"/>
      <sheetName val="2027 Propositions"/>
      <sheetName val="2027"/>
      <sheetName val="2026"/>
      <sheetName val="Tarifs presta agence 2026"/>
      <sheetName val="2025"/>
      <sheetName val="2025 - Propositions"/>
      <sheetName val="2024"/>
      <sheetName val="2024 - Propositions"/>
      <sheetName val="2023"/>
      <sheetName val="2022"/>
      <sheetName val="Contacts avant 2024 - Tri"/>
      <sheetName val="old Contacts avant 2024 - Base"/>
      <sheetName val="Dates locations"/>
      <sheetName val="Calculs"/>
      <sheetName val="Snow clef"/>
      <sheetName val="Périodes"/>
      <sheetName val="Modalités location"/>
    </sheetNames>
    <sheetDataSet>
      <sheetData sheetId="0"/>
      <sheetData sheetId="1"/>
      <sheetData sheetId="2"/>
      <sheetData sheetId="3">
        <row r="5">
          <cell r="D5">
            <v>2590</v>
          </cell>
        </row>
        <row r="6">
          <cell r="D6">
            <v>4490</v>
          </cell>
        </row>
        <row r="7">
          <cell r="D7">
            <v>4690</v>
          </cell>
        </row>
        <row r="8">
          <cell r="D8">
            <v>2790</v>
          </cell>
        </row>
        <row r="9">
          <cell r="D9">
            <v>2990</v>
          </cell>
        </row>
        <row r="10">
          <cell r="D10">
            <v>3290</v>
          </cell>
        </row>
        <row r="11">
          <cell r="D11">
            <v>3490</v>
          </cell>
        </row>
        <row r="12">
          <cell r="D12">
            <v>3490</v>
          </cell>
        </row>
        <row r="13">
          <cell r="D13">
            <v>4490</v>
          </cell>
        </row>
        <row r="14">
          <cell r="D14">
            <v>4690</v>
          </cell>
        </row>
        <row r="15">
          <cell r="D15">
            <v>4690</v>
          </cell>
        </row>
        <row r="16">
          <cell r="D16">
            <v>4690</v>
          </cell>
        </row>
        <row r="17">
          <cell r="D17">
            <v>3490</v>
          </cell>
        </row>
        <row r="18">
          <cell r="D18">
            <v>2990</v>
          </cell>
        </row>
        <row r="19">
          <cell r="D19">
            <v>2590</v>
          </cell>
        </row>
        <row r="20">
          <cell r="D20">
            <v>2590</v>
          </cell>
        </row>
        <row r="21">
          <cell r="D21">
            <v>2990</v>
          </cell>
        </row>
        <row r="22">
          <cell r="D22">
            <v>2290</v>
          </cell>
        </row>
        <row r="23">
          <cell r="D23">
            <v>1990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5313-CA05-4448-8184-A84731BAC9A0}">
  <dimension ref="A1:T29"/>
  <sheetViews>
    <sheetView tabSelected="1" topLeftCell="D4" zoomScaleNormal="100" workbookViewId="0">
      <selection activeCell="S12" sqref="S12"/>
    </sheetView>
  </sheetViews>
  <sheetFormatPr baseColWidth="10" defaultColWidth="10.83203125" defaultRowHeight="15" x14ac:dyDescent="0.2"/>
  <cols>
    <col min="1" max="2" width="15.5" customWidth="1"/>
    <col min="3" max="3" width="2.83203125" customWidth="1"/>
    <col min="4" max="6" width="11.33203125" customWidth="1"/>
    <col min="7" max="7" width="2.83203125" customWidth="1"/>
    <col min="8" max="8" width="11.33203125" customWidth="1"/>
    <col min="9" max="9" width="2.83203125" customWidth="1"/>
    <col min="10" max="10" width="11.33203125" customWidth="1"/>
    <col min="11" max="11" width="4.83203125" customWidth="1"/>
    <col min="12" max="12" width="43.5" customWidth="1"/>
    <col min="13" max="13" width="16" customWidth="1"/>
    <col min="18" max="18" width="10.83203125" style="31"/>
  </cols>
  <sheetData>
    <row r="1" spans="1:20" x14ac:dyDescent="0.2">
      <c r="A1" s="28" t="s">
        <v>27</v>
      </c>
      <c r="B1" s="28"/>
    </row>
    <row r="3" spans="1:20" x14ac:dyDescent="0.2">
      <c r="A3" s="11" t="s">
        <v>9</v>
      </c>
    </row>
    <row r="5" spans="1:20" x14ac:dyDescent="0.2">
      <c r="A5" s="1"/>
      <c r="B5" s="1"/>
      <c r="D5" s="1"/>
      <c r="E5" s="1"/>
      <c r="F5" s="1"/>
      <c r="H5" s="1"/>
      <c r="J5" s="1"/>
    </row>
    <row r="6" spans="1:20" s="18" customFormat="1" ht="48" x14ac:dyDescent="0.2">
      <c r="A6" s="26" t="s">
        <v>57</v>
      </c>
      <c r="B6" s="26" t="s">
        <v>57</v>
      </c>
      <c r="D6" s="7" t="s">
        <v>64</v>
      </c>
      <c r="E6" s="7" t="s">
        <v>65</v>
      </c>
      <c r="F6" s="7" t="s">
        <v>8</v>
      </c>
      <c r="H6" s="23" t="s">
        <v>62</v>
      </c>
      <c r="J6" s="24" t="s">
        <v>14</v>
      </c>
      <c r="L6" s="14" t="s">
        <v>66</v>
      </c>
      <c r="M6" s="18" t="s">
        <v>72</v>
      </c>
      <c r="N6" s="18" t="s">
        <v>79</v>
      </c>
      <c r="O6" s="19" t="s">
        <v>84</v>
      </c>
      <c r="P6" s="19" t="s">
        <v>77</v>
      </c>
      <c r="Q6" s="19" t="s">
        <v>81</v>
      </c>
      <c r="R6" s="14" t="s">
        <v>82</v>
      </c>
      <c r="S6" s="14" t="s">
        <v>43</v>
      </c>
    </row>
    <row r="7" spans="1:20" ht="16" x14ac:dyDescent="0.2">
      <c r="A7" s="1">
        <v>46369</v>
      </c>
      <c r="B7" s="1">
        <v>46376</v>
      </c>
      <c r="D7" s="16">
        <f>+'[1]2026'!D5</f>
        <v>2590</v>
      </c>
      <c r="E7" s="16">
        <v>201</v>
      </c>
      <c r="F7" s="16">
        <v>50</v>
      </c>
      <c r="H7" s="16">
        <f t="shared" ref="H7:H25" si="0">+F7+E7+D7</f>
        <v>2841</v>
      </c>
      <c r="J7" s="16">
        <v>3090</v>
      </c>
      <c r="L7" t="s">
        <v>67</v>
      </c>
      <c r="M7" s="2" t="s">
        <v>1</v>
      </c>
      <c r="R7" s="33"/>
      <c r="S7" s="33"/>
      <c r="T7" s="33"/>
    </row>
    <row r="8" spans="1:20" ht="16" x14ac:dyDescent="0.2">
      <c r="A8" s="10">
        <v>46376</v>
      </c>
      <c r="B8" s="10">
        <v>46383</v>
      </c>
      <c r="D8" s="15">
        <f>+'[1]2026'!D6</f>
        <v>4490</v>
      </c>
      <c r="E8" s="15">
        <v>201</v>
      </c>
      <c r="F8" s="15">
        <v>50</v>
      </c>
      <c r="H8" s="15">
        <f t="shared" si="0"/>
        <v>4741</v>
      </c>
      <c r="J8" s="15">
        <v>5390</v>
      </c>
      <c r="L8" t="s">
        <v>68</v>
      </c>
      <c r="M8" s="3" t="s">
        <v>3</v>
      </c>
      <c r="N8" s="29" t="s">
        <v>74</v>
      </c>
      <c r="O8" s="29" t="s">
        <v>83</v>
      </c>
      <c r="P8" s="30" t="s">
        <v>74</v>
      </c>
      <c r="Q8">
        <v>1617</v>
      </c>
      <c r="R8" s="33" t="s">
        <v>83</v>
      </c>
      <c r="S8" s="33"/>
      <c r="T8" s="33"/>
    </row>
    <row r="9" spans="1:20" ht="16" x14ac:dyDescent="0.2">
      <c r="A9" s="1">
        <v>46383</v>
      </c>
      <c r="B9" s="1">
        <v>46390</v>
      </c>
      <c r="D9" s="16">
        <f>+'[1]2026'!D7</f>
        <v>4690</v>
      </c>
      <c r="E9" s="16">
        <v>201</v>
      </c>
      <c r="F9" s="16">
        <v>50</v>
      </c>
      <c r="H9" s="16">
        <f t="shared" si="0"/>
        <v>4941</v>
      </c>
      <c r="J9" s="16">
        <v>5690</v>
      </c>
      <c r="L9" t="s">
        <v>69</v>
      </c>
      <c r="M9" s="2" t="s">
        <v>3</v>
      </c>
      <c r="N9" s="30" t="s">
        <v>75</v>
      </c>
      <c r="O9" s="30" t="s">
        <v>83</v>
      </c>
      <c r="P9" s="30" t="s">
        <v>75</v>
      </c>
      <c r="Q9">
        <v>1707</v>
      </c>
      <c r="R9" s="33" t="s">
        <v>83</v>
      </c>
      <c r="S9" s="33"/>
      <c r="T9" s="33"/>
    </row>
    <row r="10" spans="1:20" x14ac:dyDescent="0.2">
      <c r="A10" s="10">
        <v>46390</v>
      </c>
      <c r="B10" s="10">
        <v>46397</v>
      </c>
      <c r="D10" s="15">
        <f>+'[1]2026'!D8</f>
        <v>2790</v>
      </c>
      <c r="E10" s="15">
        <v>201</v>
      </c>
      <c r="F10" s="15">
        <v>50</v>
      </c>
      <c r="H10" s="15">
        <f t="shared" si="0"/>
        <v>3041</v>
      </c>
      <c r="J10" s="15">
        <v>3090</v>
      </c>
      <c r="L10" t="s">
        <v>70</v>
      </c>
      <c r="M10" s="4"/>
      <c r="N10" s="35" t="s">
        <v>76</v>
      </c>
      <c r="O10" s="35" t="s">
        <v>83</v>
      </c>
      <c r="P10" s="35" t="s">
        <v>80</v>
      </c>
      <c r="Q10" s="34">
        <v>1914</v>
      </c>
      <c r="R10" s="34" t="s">
        <v>83</v>
      </c>
      <c r="S10" s="34" t="s">
        <v>83</v>
      </c>
      <c r="T10" s="33"/>
    </row>
    <row r="11" spans="1:20" x14ac:dyDescent="0.2">
      <c r="A11" s="1">
        <v>46397</v>
      </c>
      <c r="B11" s="1">
        <v>46404</v>
      </c>
      <c r="D11" s="16">
        <f>+'[1]2026'!D9</f>
        <v>2990</v>
      </c>
      <c r="E11" s="16">
        <v>201</v>
      </c>
      <c r="F11" s="16">
        <v>50</v>
      </c>
      <c r="H11" s="16">
        <f t="shared" si="0"/>
        <v>3241</v>
      </c>
      <c r="J11" s="16">
        <v>3290</v>
      </c>
      <c r="L11" t="s">
        <v>70</v>
      </c>
      <c r="M11" s="2"/>
      <c r="N11" s="35"/>
      <c r="O11" s="35"/>
      <c r="P11" s="35"/>
      <c r="Q11" s="34"/>
      <c r="R11" s="34"/>
      <c r="S11" s="34"/>
      <c r="T11" s="33"/>
    </row>
    <row r="12" spans="1:20" x14ac:dyDescent="0.2">
      <c r="A12" s="10">
        <v>46404</v>
      </c>
      <c r="B12" s="10">
        <v>46411</v>
      </c>
      <c r="D12" s="15">
        <f>+'[1]2026'!D10</f>
        <v>3290</v>
      </c>
      <c r="E12" s="15">
        <v>201</v>
      </c>
      <c r="F12" s="15">
        <v>50</v>
      </c>
      <c r="H12" s="15">
        <f t="shared" si="0"/>
        <v>3541</v>
      </c>
      <c r="J12" s="15">
        <v>3650</v>
      </c>
      <c r="M12" s="4"/>
      <c r="N12" s="30"/>
      <c r="O12" s="30"/>
      <c r="P12" s="30"/>
      <c r="R12" s="33"/>
      <c r="S12" s="33"/>
      <c r="T12" s="33"/>
    </row>
    <row r="13" spans="1:20" x14ac:dyDescent="0.2">
      <c r="A13" s="1">
        <v>46411</v>
      </c>
      <c r="B13" s="1">
        <v>46418</v>
      </c>
      <c r="D13" s="16">
        <f>+'[1]2026'!D11</f>
        <v>3490</v>
      </c>
      <c r="E13" s="16">
        <v>201</v>
      </c>
      <c r="F13" s="16">
        <v>50</v>
      </c>
      <c r="H13" s="16">
        <f t="shared" si="0"/>
        <v>3741</v>
      </c>
      <c r="J13" s="16">
        <v>3850</v>
      </c>
      <c r="L13" t="s">
        <v>71</v>
      </c>
      <c r="M13" s="5"/>
      <c r="N13" s="30" t="s">
        <v>78</v>
      </c>
      <c r="O13" s="30" t="s">
        <v>83</v>
      </c>
      <c r="P13" s="30" t="s">
        <v>76</v>
      </c>
      <c r="Q13">
        <v>1155</v>
      </c>
      <c r="R13" s="33" t="s">
        <v>83</v>
      </c>
      <c r="S13" s="32" t="s">
        <v>83</v>
      </c>
      <c r="T13" s="33"/>
    </row>
    <row r="14" spans="1:20" x14ac:dyDescent="0.2">
      <c r="A14" s="10">
        <v>46418</v>
      </c>
      <c r="B14" s="10">
        <v>46425</v>
      </c>
      <c r="D14" s="15">
        <f>+'[1]2026'!D12</f>
        <v>3490</v>
      </c>
      <c r="E14" s="15">
        <v>201</v>
      </c>
      <c r="F14" s="15">
        <v>50</v>
      </c>
      <c r="H14" s="15">
        <f t="shared" si="0"/>
        <v>3741</v>
      </c>
      <c r="J14" s="15">
        <v>3990</v>
      </c>
      <c r="M14" s="3"/>
      <c r="N14" s="30"/>
      <c r="O14" s="30"/>
      <c r="P14" s="30"/>
      <c r="R14" s="33"/>
      <c r="S14" s="33"/>
      <c r="T14" s="33"/>
    </row>
    <row r="15" spans="1:20" ht="16" x14ac:dyDescent="0.2">
      <c r="A15" s="1">
        <v>46425</v>
      </c>
      <c r="B15" s="1">
        <v>46432</v>
      </c>
      <c r="D15" s="16">
        <f>+'[1]2026'!D13</f>
        <v>4490</v>
      </c>
      <c r="E15" s="16">
        <v>201</v>
      </c>
      <c r="F15" s="16">
        <v>50</v>
      </c>
      <c r="H15" s="16">
        <f t="shared" si="0"/>
        <v>4741</v>
      </c>
      <c r="J15" s="16">
        <v>5690</v>
      </c>
      <c r="M15" s="2" t="s">
        <v>4</v>
      </c>
      <c r="N15" s="30"/>
      <c r="O15" s="30"/>
      <c r="P15" s="30"/>
      <c r="R15" s="33"/>
      <c r="S15" s="33"/>
      <c r="T15" s="33"/>
    </row>
    <row r="16" spans="1:20" ht="16" x14ac:dyDescent="0.2">
      <c r="A16" s="10">
        <v>46432</v>
      </c>
      <c r="B16" s="10">
        <v>46439</v>
      </c>
      <c r="D16" s="15">
        <f>+'[1]2026'!D14</f>
        <v>4690</v>
      </c>
      <c r="E16" s="15">
        <v>201</v>
      </c>
      <c r="F16" s="15">
        <v>50</v>
      </c>
      <c r="H16" s="15">
        <f t="shared" si="0"/>
        <v>4941</v>
      </c>
      <c r="J16" s="15">
        <v>5690</v>
      </c>
      <c r="M16" s="3" t="s">
        <v>5</v>
      </c>
      <c r="N16" s="30"/>
      <c r="O16" s="30"/>
      <c r="P16" s="30"/>
      <c r="R16" s="33"/>
      <c r="S16" s="33"/>
      <c r="T16" s="33"/>
    </row>
    <row r="17" spans="1:20" ht="16" x14ac:dyDescent="0.2">
      <c r="A17" s="1">
        <v>46439</v>
      </c>
      <c r="B17" s="1">
        <v>46446</v>
      </c>
      <c r="D17" s="16">
        <f>+'[1]2026'!D15</f>
        <v>4690</v>
      </c>
      <c r="E17" s="16">
        <v>201</v>
      </c>
      <c r="F17" s="16">
        <v>50</v>
      </c>
      <c r="H17" s="16">
        <f t="shared" si="0"/>
        <v>4941</v>
      </c>
      <c r="J17" s="16">
        <v>5690</v>
      </c>
      <c r="M17" s="2" t="s">
        <v>0</v>
      </c>
      <c r="N17" s="30"/>
      <c r="O17" s="30"/>
      <c r="P17" s="30"/>
      <c r="R17" s="33"/>
      <c r="S17" s="33"/>
      <c r="T17" s="33"/>
    </row>
    <row r="18" spans="1:20" ht="16" x14ac:dyDescent="0.2">
      <c r="A18" s="10">
        <v>46446</v>
      </c>
      <c r="B18" s="10">
        <v>46453</v>
      </c>
      <c r="D18" s="15">
        <f>+'[1]2026'!D16</f>
        <v>4690</v>
      </c>
      <c r="E18" s="15">
        <v>201</v>
      </c>
      <c r="F18" s="15">
        <v>50</v>
      </c>
      <c r="H18" s="15">
        <f t="shared" si="0"/>
        <v>4941</v>
      </c>
      <c r="J18" s="15">
        <v>5690</v>
      </c>
      <c r="M18" s="3" t="s">
        <v>0</v>
      </c>
      <c r="N18" s="30"/>
      <c r="O18" s="30"/>
      <c r="P18" s="30"/>
      <c r="R18" s="33"/>
      <c r="S18" s="33"/>
      <c r="T18" s="33"/>
    </row>
    <row r="19" spans="1:20" x14ac:dyDescent="0.2">
      <c r="A19" s="1">
        <v>46453</v>
      </c>
      <c r="B19" s="1">
        <v>46460</v>
      </c>
      <c r="D19" s="16">
        <f>+'[1]2026'!D17</f>
        <v>3490</v>
      </c>
      <c r="E19" s="16">
        <v>201</v>
      </c>
      <c r="F19" s="16">
        <v>50</v>
      </c>
      <c r="H19" s="16">
        <f t="shared" si="0"/>
        <v>3741</v>
      </c>
      <c r="J19" s="16">
        <v>3890</v>
      </c>
      <c r="M19" s="5"/>
      <c r="N19" s="30"/>
      <c r="O19" s="30"/>
      <c r="P19" s="30"/>
      <c r="R19" s="33"/>
      <c r="S19" s="33"/>
      <c r="T19" s="33"/>
    </row>
    <row r="20" spans="1:20" x14ac:dyDescent="0.2">
      <c r="A20" s="10">
        <v>46460</v>
      </c>
      <c r="B20" s="10">
        <v>46467</v>
      </c>
      <c r="D20" s="15">
        <f>+'[1]2026'!D18</f>
        <v>2990</v>
      </c>
      <c r="E20" s="15">
        <v>201</v>
      </c>
      <c r="F20" s="15">
        <v>50</v>
      </c>
      <c r="H20" s="15">
        <f t="shared" si="0"/>
        <v>3241</v>
      </c>
      <c r="J20" s="15">
        <v>3390</v>
      </c>
      <c r="M20" s="4"/>
      <c r="N20" s="30"/>
      <c r="O20" s="30"/>
      <c r="P20" s="30"/>
      <c r="R20" s="33"/>
      <c r="S20" s="33"/>
      <c r="T20" s="33"/>
    </row>
    <row r="21" spans="1:20" x14ac:dyDescent="0.2">
      <c r="A21" s="1">
        <v>46467</v>
      </c>
      <c r="B21" s="1">
        <v>46474</v>
      </c>
      <c r="D21" s="16">
        <f>+'[1]2026'!D19</f>
        <v>2590</v>
      </c>
      <c r="E21" s="16">
        <v>201</v>
      </c>
      <c r="F21" s="16">
        <v>50</v>
      </c>
      <c r="H21" s="16">
        <f t="shared" si="0"/>
        <v>2841</v>
      </c>
      <c r="J21" s="16">
        <v>2990</v>
      </c>
      <c r="L21" t="s">
        <v>73</v>
      </c>
      <c r="M21" s="2"/>
      <c r="N21" s="30" t="s">
        <v>80</v>
      </c>
      <c r="O21" s="30" t="s">
        <v>83</v>
      </c>
      <c r="P21" s="30" t="s">
        <v>78</v>
      </c>
      <c r="Q21">
        <v>897</v>
      </c>
      <c r="R21" s="33" t="s">
        <v>83</v>
      </c>
      <c r="S21" s="33"/>
      <c r="T21" s="33"/>
    </row>
    <row r="22" spans="1:20" ht="16" x14ac:dyDescent="0.2">
      <c r="A22" s="10">
        <v>46474</v>
      </c>
      <c r="B22" s="10">
        <v>46481</v>
      </c>
      <c r="D22" s="15">
        <f>+'[1]2026'!D20</f>
        <v>2590</v>
      </c>
      <c r="E22" s="15">
        <v>201</v>
      </c>
      <c r="F22" s="15">
        <v>50</v>
      </c>
      <c r="H22" s="15">
        <f t="shared" si="0"/>
        <v>2841</v>
      </c>
      <c r="J22" s="15">
        <v>3390</v>
      </c>
      <c r="L22" t="s">
        <v>85</v>
      </c>
      <c r="M22" s="3" t="s">
        <v>1</v>
      </c>
      <c r="N22" s="30" t="s">
        <v>86</v>
      </c>
      <c r="O22" s="30"/>
      <c r="P22" s="30" t="s">
        <v>86</v>
      </c>
      <c r="Q22">
        <v>1017</v>
      </c>
      <c r="R22" s="33" t="s">
        <v>83</v>
      </c>
      <c r="S22" s="33"/>
      <c r="T22" s="33"/>
    </row>
    <row r="23" spans="1:20" ht="16" x14ac:dyDescent="0.2">
      <c r="A23" s="1">
        <v>46481</v>
      </c>
      <c r="B23" s="1">
        <v>46488</v>
      </c>
      <c r="D23" s="16">
        <f>+'[1]2026'!D21</f>
        <v>2990</v>
      </c>
      <c r="E23" s="16">
        <v>201</v>
      </c>
      <c r="F23" s="16">
        <v>50</v>
      </c>
      <c r="H23" s="16">
        <f t="shared" si="0"/>
        <v>3241</v>
      </c>
      <c r="J23" s="16">
        <v>3390</v>
      </c>
      <c r="M23" s="2" t="s">
        <v>3</v>
      </c>
      <c r="N23" s="30"/>
      <c r="O23" s="30"/>
      <c r="P23" s="30"/>
      <c r="R23" s="33"/>
      <c r="S23" s="33"/>
      <c r="T23" s="33"/>
    </row>
    <row r="24" spans="1:20" ht="16" x14ac:dyDescent="0.2">
      <c r="A24" s="10">
        <v>46488</v>
      </c>
      <c r="B24" s="10">
        <v>46495</v>
      </c>
      <c r="D24" s="15">
        <f>+'[1]2026'!D22</f>
        <v>2290</v>
      </c>
      <c r="E24" s="15">
        <v>201</v>
      </c>
      <c r="F24" s="15">
        <v>50</v>
      </c>
      <c r="H24" s="15">
        <f t="shared" si="0"/>
        <v>2541</v>
      </c>
      <c r="J24" s="15">
        <v>2690</v>
      </c>
      <c r="M24" s="3" t="s">
        <v>3</v>
      </c>
      <c r="N24" s="30"/>
      <c r="O24" s="30"/>
      <c r="P24" s="30"/>
      <c r="R24" s="33"/>
      <c r="S24" s="33"/>
      <c r="T24" s="33"/>
    </row>
    <row r="25" spans="1:20" ht="16" x14ac:dyDescent="0.2">
      <c r="A25" s="1">
        <v>46495</v>
      </c>
      <c r="B25" s="1">
        <v>46502</v>
      </c>
      <c r="D25" s="16">
        <f>+'[1]2026'!D23</f>
        <v>1990</v>
      </c>
      <c r="E25" s="16">
        <v>201</v>
      </c>
      <c r="F25" s="16">
        <v>50</v>
      </c>
      <c r="H25" s="16">
        <f t="shared" si="0"/>
        <v>2241</v>
      </c>
      <c r="J25" s="16">
        <v>2390</v>
      </c>
      <c r="M25" s="2" t="s">
        <v>0</v>
      </c>
      <c r="N25" s="30"/>
      <c r="O25" s="30"/>
      <c r="P25" s="30"/>
      <c r="R25" s="33"/>
      <c r="S25" s="33"/>
      <c r="T25" s="33"/>
    </row>
    <row r="26" spans="1:20" ht="4.25" customHeight="1" x14ac:dyDescent="0.2">
      <c r="A26" s="1"/>
      <c r="B26" s="1"/>
      <c r="D26" s="25"/>
      <c r="E26" s="25"/>
      <c r="F26" s="25"/>
      <c r="H26" s="25"/>
      <c r="J26" s="25"/>
      <c r="S26" s="31"/>
    </row>
    <row r="27" spans="1:20" x14ac:dyDescent="0.2">
      <c r="A27" s="1"/>
      <c r="B27" s="1" t="s">
        <v>54</v>
      </c>
      <c r="D27" s="16">
        <f>+SUM(D7:D26)</f>
        <v>65310</v>
      </c>
      <c r="E27" s="16">
        <f>+SUM(E7:E26)</f>
        <v>3819</v>
      </c>
      <c r="F27" s="16">
        <f>+SUM(F7:F26)</f>
        <v>950</v>
      </c>
      <c r="H27" s="16">
        <f>+SUM(H7:H26)</f>
        <v>70079</v>
      </c>
      <c r="J27" s="16">
        <f t="shared" ref="J27" si="1">+SUM(J7:J26)</f>
        <v>76930</v>
      </c>
      <c r="S27" s="31"/>
    </row>
    <row r="28" spans="1:20" x14ac:dyDescent="0.2">
      <c r="E28" s="16"/>
      <c r="F28" s="16"/>
      <c r="S28" s="31"/>
    </row>
    <row r="29" spans="1:20" x14ac:dyDescent="0.2">
      <c r="A29" s="17" t="s">
        <v>63</v>
      </c>
    </row>
  </sheetData>
  <mergeCells count="6">
    <mergeCell ref="S10:S11"/>
    <mergeCell ref="N10:N11"/>
    <mergeCell ref="O10:O11"/>
    <mergeCell ref="P10:P11"/>
    <mergeCell ref="Q10:Q11"/>
    <mergeCell ref="R10:R11"/>
  </mergeCells>
  <pageMargins left="0.7" right="0.7" top="0.75" bottom="0.75" header="0.3" footer="0.3"/>
  <pageSetup paperSize="9" orientation="portrait" r:id="rId1"/>
  <ignoredErrors>
    <ignoredError sqref="P8:P9 P13 P21 N21 N13 N8:N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D44B-6616-4855-9301-4603ADE5102B}">
  <dimension ref="A1:I48"/>
  <sheetViews>
    <sheetView topLeftCell="I1" zoomScale="87" zoomScaleNormal="70" workbookViewId="0">
      <selection activeCell="D30" sqref="D30"/>
    </sheetView>
  </sheetViews>
  <sheetFormatPr baseColWidth="10" defaultColWidth="10.83203125" defaultRowHeight="15" x14ac:dyDescent="0.2"/>
  <cols>
    <col min="1" max="2" width="15.5" customWidth="1"/>
    <col min="3" max="3" width="11.5" customWidth="1"/>
    <col min="4" max="4" width="11.33203125" customWidth="1"/>
    <col min="5" max="5" width="10.83203125" collapsed="1"/>
    <col min="6" max="6" width="6.1640625" customWidth="1"/>
    <col min="7" max="7" width="16.1640625" customWidth="1"/>
    <col min="9" max="9" width="11.5" customWidth="1"/>
  </cols>
  <sheetData>
    <row r="1" spans="1:9" x14ac:dyDescent="0.2">
      <c r="A1" s="1"/>
      <c r="B1" s="1"/>
      <c r="C1" s="1"/>
      <c r="D1" s="1"/>
      <c r="I1" s="1"/>
    </row>
    <row r="2" spans="1:9" s="8" customFormat="1" ht="48" x14ac:dyDescent="0.2">
      <c r="A2" s="6"/>
      <c r="B2" s="6"/>
      <c r="C2" s="7" t="s">
        <v>23</v>
      </c>
      <c r="D2" s="7" t="s">
        <v>6</v>
      </c>
      <c r="E2" s="9" t="s">
        <v>2</v>
      </c>
      <c r="G2" s="14" t="s">
        <v>7</v>
      </c>
      <c r="I2" s="7" t="s">
        <v>24</v>
      </c>
    </row>
    <row r="3" spans="1:9" ht="16" x14ac:dyDescent="0.2">
      <c r="A3" s="1">
        <v>46368</v>
      </c>
      <c r="B3" s="1">
        <v>46375</v>
      </c>
      <c r="C3" s="16">
        <v>3090</v>
      </c>
      <c r="D3" s="16">
        <f>+'[1]2026'!D5</f>
        <v>2590</v>
      </c>
      <c r="E3" s="12">
        <f>+(C3-D3)/D3</f>
        <v>0.19305019305019305</v>
      </c>
      <c r="G3" s="2" t="s">
        <v>1</v>
      </c>
      <c r="I3" s="16">
        <f>+'Simulations hors agence'!M11</f>
        <v>3090</v>
      </c>
    </row>
    <row r="4" spans="1:9" ht="16" x14ac:dyDescent="0.2">
      <c r="A4" s="10">
        <v>46375</v>
      </c>
      <c r="B4" s="10">
        <v>46382</v>
      </c>
      <c r="C4" s="15">
        <v>5690</v>
      </c>
      <c r="D4" s="15">
        <f>+'[1]2026'!D6</f>
        <v>4490</v>
      </c>
      <c r="E4" s="13">
        <f t="shared" ref="E4:E21" si="0">+(C4-D4)/D4</f>
        <v>0.267260579064588</v>
      </c>
      <c r="G4" s="3" t="s">
        <v>3</v>
      </c>
      <c r="I4" s="15">
        <f>+'Simulations hors agence'!M12</f>
        <v>5390</v>
      </c>
    </row>
    <row r="5" spans="1:9" ht="16" x14ac:dyDescent="0.2">
      <c r="A5" s="1">
        <v>46382</v>
      </c>
      <c r="B5" s="1">
        <v>46389</v>
      </c>
      <c r="C5" s="16">
        <v>5690</v>
      </c>
      <c r="D5" s="16">
        <f>+'[1]2026'!D7</f>
        <v>4690</v>
      </c>
      <c r="E5" s="12">
        <f t="shared" si="0"/>
        <v>0.21321961620469082</v>
      </c>
      <c r="G5" s="2" t="s">
        <v>3</v>
      </c>
      <c r="I5" s="16">
        <f>+'Simulations hors agence'!M13</f>
        <v>5690</v>
      </c>
    </row>
    <row r="6" spans="1:9" x14ac:dyDescent="0.2">
      <c r="A6" s="10">
        <v>46389</v>
      </c>
      <c r="B6" s="10">
        <v>46396</v>
      </c>
      <c r="C6" s="15">
        <v>3190</v>
      </c>
      <c r="D6" s="15">
        <f>+'[1]2026'!D8</f>
        <v>2790</v>
      </c>
      <c r="E6" s="13">
        <f t="shared" si="0"/>
        <v>0.14336917562724014</v>
      </c>
      <c r="G6" s="4"/>
      <c r="I6" s="15">
        <f>+'Simulations hors agence'!M14</f>
        <v>3090</v>
      </c>
    </row>
    <row r="7" spans="1:9" x14ac:dyDescent="0.2">
      <c r="A7" s="1">
        <v>46396</v>
      </c>
      <c r="B7" s="1">
        <v>46403</v>
      </c>
      <c r="C7" s="16">
        <v>3290</v>
      </c>
      <c r="D7" s="16">
        <f>+'[1]2026'!D9</f>
        <v>2990</v>
      </c>
      <c r="E7" s="12">
        <f t="shared" si="0"/>
        <v>0.10033444816053512</v>
      </c>
      <c r="G7" s="2"/>
      <c r="I7" s="16">
        <f>+'Simulations hors agence'!M15</f>
        <v>3290</v>
      </c>
    </row>
    <row r="8" spans="1:9" x14ac:dyDescent="0.2">
      <c r="A8" s="10">
        <v>46403</v>
      </c>
      <c r="B8" s="10">
        <v>46410</v>
      </c>
      <c r="C8" s="15">
        <v>3490</v>
      </c>
      <c r="D8" s="15">
        <f>+'[1]2026'!D10</f>
        <v>3290</v>
      </c>
      <c r="E8" s="13">
        <f t="shared" si="0"/>
        <v>6.0790273556231005E-2</v>
      </c>
      <c r="G8" s="4"/>
      <c r="I8" s="15">
        <f>+'Simulations hors agence'!M16</f>
        <v>3650</v>
      </c>
    </row>
    <row r="9" spans="1:9" x14ac:dyDescent="0.2">
      <c r="A9" s="1">
        <v>46410</v>
      </c>
      <c r="B9" s="1">
        <v>46417</v>
      </c>
      <c r="C9" s="16">
        <v>3790</v>
      </c>
      <c r="D9" s="16">
        <f>+'[1]2026'!D11</f>
        <v>3490</v>
      </c>
      <c r="E9" s="12">
        <f t="shared" si="0"/>
        <v>8.5959885386819479E-2</v>
      </c>
      <c r="G9" s="5"/>
      <c r="I9" s="16">
        <f>+'Simulations hors agence'!M17</f>
        <v>3850</v>
      </c>
    </row>
    <row r="10" spans="1:9" x14ac:dyDescent="0.2">
      <c r="A10" s="10">
        <v>46417</v>
      </c>
      <c r="B10" s="10">
        <v>46424</v>
      </c>
      <c r="C10" s="15">
        <v>3990</v>
      </c>
      <c r="D10" s="15">
        <f>+'[1]2026'!D12</f>
        <v>3490</v>
      </c>
      <c r="E10" s="13">
        <f t="shared" si="0"/>
        <v>0.14326647564469913</v>
      </c>
      <c r="G10" s="3"/>
      <c r="I10" s="15">
        <f>+'Simulations hors agence'!M18</f>
        <v>3990</v>
      </c>
    </row>
    <row r="11" spans="1:9" ht="16" x14ac:dyDescent="0.2">
      <c r="A11" s="1">
        <v>46424</v>
      </c>
      <c r="B11" s="1">
        <v>46431</v>
      </c>
      <c r="C11" s="16">
        <v>5690</v>
      </c>
      <c r="D11" s="16">
        <f>+'[1]2026'!D13</f>
        <v>4490</v>
      </c>
      <c r="E11" s="12">
        <f t="shared" si="0"/>
        <v>0.267260579064588</v>
      </c>
      <c r="G11" s="2" t="s">
        <v>4</v>
      </c>
      <c r="I11" s="16">
        <f>+'Simulations hors agence'!M19</f>
        <v>5690</v>
      </c>
    </row>
    <row r="12" spans="1:9" ht="16" x14ac:dyDescent="0.2">
      <c r="A12" s="10">
        <v>46431</v>
      </c>
      <c r="B12" s="10">
        <v>46438</v>
      </c>
      <c r="C12" s="15">
        <v>5690</v>
      </c>
      <c r="D12" s="15">
        <f>+'[1]2026'!D14</f>
        <v>4690</v>
      </c>
      <c r="E12" s="13">
        <f t="shared" si="0"/>
        <v>0.21321961620469082</v>
      </c>
      <c r="G12" s="3" t="s">
        <v>5</v>
      </c>
      <c r="I12" s="15">
        <f>+'Simulations hors agence'!M20</f>
        <v>5690</v>
      </c>
    </row>
    <row r="13" spans="1:9" ht="16" x14ac:dyDescent="0.2">
      <c r="A13" s="1">
        <v>46438</v>
      </c>
      <c r="B13" s="1">
        <v>46445</v>
      </c>
      <c r="C13" s="16">
        <v>5490</v>
      </c>
      <c r="D13" s="16">
        <f>+'[1]2026'!D15</f>
        <v>4690</v>
      </c>
      <c r="E13" s="12">
        <f t="shared" si="0"/>
        <v>0.17057569296375266</v>
      </c>
      <c r="G13" s="2" t="s">
        <v>0</v>
      </c>
      <c r="I13" s="16">
        <f>+'Simulations hors agence'!M21</f>
        <v>5690</v>
      </c>
    </row>
    <row r="14" spans="1:9" ht="16" x14ac:dyDescent="0.2">
      <c r="A14" s="10">
        <v>46445</v>
      </c>
      <c r="B14" s="10">
        <v>46452</v>
      </c>
      <c r="C14" s="15">
        <v>5490</v>
      </c>
      <c r="D14" s="15">
        <f>+'[1]2026'!D16</f>
        <v>4690</v>
      </c>
      <c r="E14" s="13">
        <f t="shared" si="0"/>
        <v>0.17057569296375266</v>
      </c>
      <c r="G14" s="3" t="s">
        <v>0</v>
      </c>
      <c r="I14" s="15">
        <f>+'Simulations hors agence'!M22</f>
        <v>5690</v>
      </c>
    </row>
    <row r="15" spans="1:9" x14ac:dyDescent="0.2">
      <c r="A15" s="1">
        <v>46452</v>
      </c>
      <c r="B15" s="1">
        <v>46459</v>
      </c>
      <c r="C15" s="16">
        <v>3890</v>
      </c>
      <c r="D15" s="16">
        <f>+'[1]2026'!D17</f>
        <v>3490</v>
      </c>
      <c r="E15" s="12">
        <f t="shared" si="0"/>
        <v>0.11461318051575932</v>
      </c>
      <c r="G15" s="5"/>
      <c r="I15" s="16">
        <f>+'Simulations hors agence'!M23</f>
        <v>3890</v>
      </c>
    </row>
    <row r="16" spans="1:9" x14ac:dyDescent="0.2">
      <c r="A16" s="10">
        <v>46459</v>
      </c>
      <c r="B16" s="10">
        <v>46466</v>
      </c>
      <c r="C16" s="15">
        <v>3490</v>
      </c>
      <c r="D16" s="15">
        <f>+'[1]2026'!D18</f>
        <v>2990</v>
      </c>
      <c r="E16" s="13">
        <f t="shared" si="0"/>
        <v>0.16722408026755853</v>
      </c>
      <c r="G16" s="4"/>
      <c r="I16" s="15">
        <f>+'Simulations hors agence'!M24</f>
        <v>3390</v>
      </c>
    </row>
    <row r="17" spans="1:9" x14ac:dyDescent="0.2">
      <c r="A17" s="1">
        <v>46466</v>
      </c>
      <c r="B17" s="1">
        <v>46473</v>
      </c>
      <c r="C17" s="16">
        <v>3090</v>
      </c>
      <c r="D17" s="16">
        <f>+'[1]2026'!D19</f>
        <v>2590</v>
      </c>
      <c r="E17" s="12">
        <f t="shared" si="0"/>
        <v>0.19305019305019305</v>
      </c>
      <c r="G17" s="2"/>
      <c r="I17" s="16">
        <f>+'Simulations hors agence'!M25</f>
        <v>2990</v>
      </c>
    </row>
    <row r="18" spans="1:9" ht="16" x14ac:dyDescent="0.2">
      <c r="A18" s="10">
        <v>46473</v>
      </c>
      <c r="B18" s="10">
        <v>46480</v>
      </c>
      <c r="C18" s="15">
        <v>3090</v>
      </c>
      <c r="D18" s="15">
        <f>+'[1]2026'!D20</f>
        <v>2590</v>
      </c>
      <c r="E18" s="13">
        <f t="shared" si="0"/>
        <v>0.19305019305019305</v>
      </c>
      <c r="G18" s="3" t="s">
        <v>1</v>
      </c>
      <c r="I18" s="15">
        <f>+'Simulations hors agence'!M26</f>
        <v>3390</v>
      </c>
    </row>
    <row r="19" spans="1:9" ht="16" x14ac:dyDescent="0.2">
      <c r="A19" s="1">
        <v>46480</v>
      </c>
      <c r="B19" s="1">
        <v>46487</v>
      </c>
      <c r="C19" s="16">
        <v>3290</v>
      </c>
      <c r="D19" s="16">
        <f>+'[1]2026'!D21</f>
        <v>2990</v>
      </c>
      <c r="E19" s="12">
        <f t="shared" si="0"/>
        <v>0.10033444816053512</v>
      </c>
      <c r="G19" s="2" t="s">
        <v>3</v>
      </c>
      <c r="I19" s="16">
        <f>+'Simulations hors agence'!M27</f>
        <v>3390</v>
      </c>
    </row>
    <row r="20" spans="1:9" ht="16" x14ac:dyDescent="0.2">
      <c r="A20" s="10">
        <v>46487</v>
      </c>
      <c r="B20" s="10">
        <v>46494</v>
      </c>
      <c r="C20" s="15">
        <v>2490</v>
      </c>
      <c r="D20" s="15">
        <f>+'[1]2026'!D22</f>
        <v>2290</v>
      </c>
      <c r="E20" s="13">
        <f t="shared" si="0"/>
        <v>8.7336244541484712E-2</v>
      </c>
      <c r="G20" s="3" t="s">
        <v>3</v>
      </c>
      <c r="I20" s="15">
        <f>+'Simulations hors agence'!M28</f>
        <v>2690</v>
      </c>
    </row>
    <row r="21" spans="1:9" ht="16" x14ac:dyDescent="0.2">
      <c r="A21" s="1">
        <v>46494</v>
      </c>
      <c r="B21" s="1">
        <v>46501</v>
      </c>
      <c r="C21" s="16">
        <v>2090</v>
      </c>
      <c r="D21" s="16">
        <f>+'[1]2026'!D23</f>
        <v>1990</v>
      </c>
      <c r="E21" s="12">
        <f t="shared" si="0"/>
        <v>5.0251256281407038E-2</v>
      </c>
      <c r="G21" s="2" t="s">
        <v>0</v>
      </c>
      <c r="I21" s="16">
        <f>+'Simulations hors agence'!M29</f>
        <v>2390</v>
      </c>
    </row>
    <row r="48" spans="7:7" x14ac:dyDescent="0.2">
      <c r="G48" s="11"/>
    </row>
  </sheetData>
  <pageMargins left="0.7" right="0.7" top="0.75" bottom="0.75" header="0.3" footer="0.3"/>
  <pageSetup paperSize="9" orientation="landscape" r:id="rId1"/>
  <headerFooter>
    <oddFooter>&amp;C&amp;1#&amp;"Calibri"&amp;8&amp;KED7D31Orange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496-9BD4-4025-86CC-DFCCED545270}">
  <dimension ref="A1:AH41"/>
  <sheetViews>
    <sheetView topLeftCell="B10" zoomScaleNormal="100" workbookViewId="0">
      <pane xSplit="3760" topLeftCell="X1" activePane="topRight"/>
      <selection activeCell="AH31" sqref="AH31"/>
      <selection pane="topRight" activeCell="AH31" sqref="AH31"/>
    </sheetView>
  </sheetViews>
  <sheetFormatPr baseColWidth="10" defaultColWidth="10.83203125" defaultRowHeight="15" x14ac:dyDescent="0.2"/>
  <cols>
    <col min="1" max="2" width="15.5" customWidth="1"/>
    <col min="3" max="3" width="2.83203125" customWidth="1"/>
    <col min="4" max="7" width="11.33203125" customWidth="1"/>
    <col min="8" max="8" width="2.83203125" customWidth="1"/>
    <col min="9" max="10" width="11.33203125" customWidth="1"/>
    <col min="11" max="11" width="8.1640625" customWidth="1"/>
    <col min="12" max="12" width="2.83203125" customWidth="1"/>
    <col min="13" max="21" width="11.33203125" customWidth="1"/>
    <col min="22" max="22" width="2.83203125" customWidth="1"/>
    <col min="23" max="25" width="11.33203125" customWidth="1"/>
    <col min="26" max="26" width="2.83203125" customWidth="1"/>
    <col min="27" max="28" width="10.33203125" customWidth="1"/>
    <col min="29" max="29" width="2.83203125" customWidth="1"/>
    <col min="30" max="30" width="10.83203125" collapsed="1"/>
  </cols>
  <sheetData>
    <row r="1" spans="1:34" x14ac:dyDescent="0.2">
      <c r="A1" t="s">
        <v>27</v>
      </c>
    </row>
    <row r="3" spans="1:34" x14ac:dyDescent="0.2">
      <c r="A3" t="s">
        <v>40</v>
      </c>
    </row>
    <row r="4" spans="1:34" x14ac:dyDescent="0.2">
      <c r="A4" t="s">
        <v>41</v>
      </c>
    </row>
    <row r="7" spans="1:34" x14ac:dyDescent="0.2">
      <c r="A7" s="11" t="s">
        <v>9</v>
      </c>
    </row>
    <row r="9" spans="1:34" x14ac:dyDescent="0.2">
      <c r="A9" s="1"/>
      <c r="B9" s="1"/>
      <c r="D9" s="1"/>
      <c r="E9" s="1"/>
      <c r="F9" s="1"/>
      <c r="G9" s="1"/>
      <c r="I9" s="1"/>
      <c r="J9" s="1"/>
      <c r="K9" s="1"/>
      <c r="M9" s="1"/>
      <c r="N9" s="1"/>
      <c r="O9" s="1"/>
      <c r="P9" s="1"/>
      <c r="Q9" s="1"/>
      <c r="R9" s="1"/>
      <c r="S9" s="1"/>
      <c r="T9" s="1"/>
      <c r="U9" s="1"/>
      <c r="W9" s="1"/>
      <c r="X9" s="1"/>
      <c r="Y9" s="1"/>
      <c r="AA9" s="1"/>
      <c r="AB9" s="1"/>
    </row>
    <row r="10" spans="1:34" s="18" customFormat="1" ht="48" x14ac:dyDescent="0.2">
      <c r="A10" s="26" t="s">
        <v>57</v>
      </c>
      <c r="B10" s="26" t="s">
        <v>57</v>
      </c>
      <c r="D10" s="7" t="s">
        <v>6</v>
      </c>
      <c r="E10" s="7" t="s">
        <v>32</v>
      </c>
      <c r="F10" s="7" t="s">
        <v>8</v>
      </c>
      <c r="G10" s="7" t="s">
        <v>30</v>
      </c>
      <c r="I10" s="23" t="s">
        <v>10</v>
      </c>
      <c r="J10" s="7" t="s">
        <v>13</v>
      </c>
      <c r="K10" s="7" t="s">
        <v>35</v>
      </c>
      <c r="M10" s="24" t="s">
        <v>14</v>
      </c>
      <c r="N10" s="7" t="s">
        <v>28</v>
      </c>
      <c r="O10" s="7" t="s">
        <v>15</v>
      </c>
      <c r="P10" s="7" t="s">
        <v>16</v>
      </c>
      <c r="Q10" s="7" t="s">
        <v>21</v>
      </c>
      <c r="R10" s="7" t="s">
        <v>34</v>
      </c>
      <c r="S10" s="7" t="s">
        <v>53</v>
      </c>
      <c r="T10" s="7" t="s">
        <v>61</v>
      </c>
      <c r="U10" s="7" t="s">
        <v>56</v>
      </c>
      <c r="V10" s="19"/>
      <c r="W10" s="7" t="s">
        <v>10</v>
      </c>
      <c r="X10" s="7" t="s">
        <v>13</v>
      </c>
      <c r="Y10" s="7" t="s">
        <v>35</v>
      </c>
      <c r="Z10" s="19"/>
      <c r="AA10" s="9" t="s">
        <v>37</v>
      </c>
      <c r="AB10" s="9" t="s">
        <v>36</v>
      </c>
      <c r="AC10" s="19"/>
      <c r="AD10" s="9" t="s">
        <v>38</v>
      </c>
      <c r="AE10" s="9" t="s">
        <v>39</v>
      </c>
      <c r="AG10" s="9" t="s">
        <v>59</v>
      </c>
      <c r="AH10" s="9" t="s">
        <v>58</v>
      </c>
    </row>
    <row r="11" spans="1:34" x14ac:dyDescent="0.2">
      <c r="A11" s="1">
        <v>46369</v>
      </c>
      <c r="B11" s="1">
        <v>46376</v>
      </c>
      <c r="D11" s="16">
        <f>+'[1]2026'!D5</f>
        <v>2590</v>
      </c>
      <c r="E11" s="16">
        <v>201</v>
      </c>
      <c r="F11" s="16">
        <v>50</v>
      </c>
      <c r="G11" s="16">
        <v>115</v>
      </c>
      <c r="I11" s="16">
        <f>+F11+E11+D11</f>
        <v>2841</v>
      </c>
      <c r="J11" s="16">
        <f>(D11-198)*0.78+G11</f>
        <v>1980.76</v>
      </c>
      <c r="K11" s="20">
        <f>+J11/I11</f>
        <v>0.69720520943329811</v>
      </c>
      <c r="M11" s="16">
        <v>3090</v>
      </c>
      <c r="N11" s="16">
        <v>350</v>
      </c>
      <c r="O11" s="16">
        <v>90</v>
      </c>
      <c r="P11" s="16">
        <v>50</v>
      </c>
      <c r="Q11" s="16">
        <f>(90/4)</f>
        <v>22.5</v>
      </c>
      <c r="R11" s="16">
        <f t="shared" ref="R11:R29" si="0">+M11*0.02</f>
        <v>61.800000000000004</v>
      </c>
      <c r="S11" s="16">
        <v>20</v>
      </c>
      <c r="T11" s="16">
        <v>15</v>
      </c>
      <c r="U11" s="16">
        <v>10</v>
      </c>
      <c r="W11" s="16">
        <f t="shared" ref="W11:W29" si="1">+M11</f>
        <v>3090</v>
      </c>
      <c r="X11" s="16">
        <f t="shared" ref="X11:X29" si="2">+M11-SUM(N11:U11)</f>
        <v>2470.6999999999998</v>
      </c>
      <c r="Y11" s="20">
        <f>+X11/W11</f>
        <v>0.79957928802588996</v>
      </c>
      <c r="AA11" s="16">
        <f t="shared" ref="AA11:AA29" si="3">+W11-I11</f>
        <v>249</v>
      </c>
      <c r="AB11" s="16">
        <f t="shared" ref="AB11:AB29" si="4">+X11-J11</f>
        <v>489.93999999999983</v>
      </c>
      <c r="AD11" s="20">
        <f t="shared" ref="AD11:AD29" si="5">+(W11-I11)/I11</f>
        <v>8.7645195353748678E-2</v>
      </c>
      <c r="AE11" s="20">
        <f t="shared" ref="AE11:AE29" si="6">+(X11-J11)/J11</f>
        <v>0.24734950221127236</v>
      </c>
      <c r="AG11" s="16">
        <f>+I11-SUM(N11:U11)-J11</f>
        <v>240.93999999999983</v>
      </c>
      <c r="AH11" s="20">
        <f>+(+I11-SUM(N11:U11)-J11)/J11</f>
        <v>0.12164017851733669</v>
      </c>
    </row>
    <row r="12" spans="1:34" x14ac:dyDescent="0.2">
      <c r="A12" s="10">
        <v>46376</v>
      </c>
      <c r="B12" s="10">
        <v>46383</v>
      </c>
      <c r="D12" s="15">
        <f>+'[1]2026'!D6</f>
        <v>4490</v>
      </c>
      <c r="E12" s="15">
        <v>201</v>
      </c>
      <c r="F12" s="15">
        <v>50</v>
      </c>
      <c r="G12" s="15">
        <v>115</v>
      </c>
      <c r="I12" s="15">
        <f t="shared" ref="I12:I29" si="7">+F12+E12+D12</f>
        <v>4741</v>
      </c>
      <c r="J12" s="15">
        <f t="shared" ref="J12:J29" si="8">(D12-198)*0.78+G12</f>
        <v>3462.76</v>
      </c>
      <c r="K12" s="21">
        <f t="shared" ref="K12:K29" si="9">+J12/I12</f>
        <v>0.73038599451592501</v>
      </c>
      <c r="M12" s="15">
        <v>5390</v>
      </c>
      <c r="N12" s="15">
        <v>350</v>
      </c>
      <c r="O12" s="15">
        <v>90</v>
      </c>
      <c r="P12" s="15">
        <v>50</v>
      </c>
      <c r="Q12" s="15">
        <f t="shared" ref="Q12:Q29" si="10">(90/4)</f>
        <v>22.5</v>
      </c>
      <c r="R12" s="15">
        <f t="shared" si="0"/>
        <v>107.8</v>
      </c>
      <c r="S12" s="15">
        <v>20</v>
      </c>
      <c r="T12" s="15">
        <v>15</v>
      </c>
      <c r="U12" s="15">
        <v>10</v>
      </c>
      <c r="W12" s="15">
        <f t="shared" si="1"/>
        <v>5390</v>
      </c>
      <c r="X12" s="15">
        <f t="shared" si="2"/>
        <v>4724.7</v>
      </c>
      <c r="Y12" s="21">
        <f t="shared" ref="Y12:Y29" si="11">+X12/W12</f>
        <v>0.87656771799628941</v>
      </c>
      <c r="AA12" s="15">
        <f t="shared" si="3"/>
        <v>649</v>
      </c>
      <c r="AB12" s="15">
        <f t="shared" si="4"/>
        <v>1261.9399999999996</v>
      </c>
      <c r="AD12" s="21">
        <f t="shared" si="5"/>
        <v>0.1368909512761021</v>
      </c>
      <c r="AE12" s="21">
        <f t="shared" si="6"/>
        <v>0.36443184049717553</v>
      </c>
      <c r="AG12" s="15">
        <f t="shared" ref="AG12:AG29" si="12">+I12-SUM(N12:U12)-J12</f>
        <v>612.9399999999996</v>
      </c>
      <c r="AH12" s="21">
        <f t="shared" ref="AH12:AH31" si="13">+(+I12-SUM(N12:U12)-J12)/J12</f>
        <v>0.17700909101410423</v>
      </c>
    </row>
    <row r="13" spans="1:34" x14ac:dyDescent="0.2">
      <c r="A13" s="1">
        <v>46383</v>
      </c>
      <c r="B13" s="1">
        <v>46390</v>
      </c>
      <c r="D13" s="16">
        <f>+'[1]2026'!D7</f>
        <v>4690</v>
      </c>
      <c r="E13" s="16">
        <v>201</v>
      </c>
      <c r="F13" s="16">
        <v>50</v>
      </c>
      <c r="G13" s="16">
        <v>115</v>
      </c>
      <c r="I13" s="16">
        <f t="shared" si="7"/>
        <v>4941</v>
      </c>
      <c r="J13" s="16">
        <f t="shared" si="8"/>
        <v>3618.76</v>
      </c>
      <c r="K13" s="20">
        <f t="shared" si="9"/>
        <v>0.732394252175673</v>
      </c>
      <c r="M13" s="16">
        <v>5690</v>
      </c>
      <c r="N13" s="16">
        <v>350</v>
      </c>
      <c r="O13" s="16">
        <v>90</v>
      </c>
      <c r="P13" s="16">
        <v>50</v>
      </c>
      <c r="Q13" s="16">
        <f t="shared" si="10"/>
        <v>22.5</v>
      </c>
      <c r="R13" s="16">
        <f t="shared" si="0"/>
        <v>113.8</v>
      </c>
      <c r="S13" s="16">
        <v>20</v>
      </c>
      <c r="T13" s="16">
        <v>15</v>
      </c>
      <c r="U13" s="16">
        <v>10</v>
      </c>
      <c r="W13" s="16">
        <f t="shared" si="1"/>
        <v>5690</v>
      </c>
      <c r="X13" s="16">
        <f t="shared" si="2"/>
        <v>5018.7</v>
      </c>
      <c r="Y13" s="20">
        <f t="shared" si="11"/>
        <v>0.8820210896309314</v>
      </c>
      <c r="AA13" s="16">
        <f t="shared" si="3"/>
        <v>749</v>
      </c>
      <c r="AB13" s="16">
        <f t="shared" si="4"/>
        <v>1399.9399999999996</v>
      </c>
      <c r="AD13" s="20">
        <f t="shared" si="5"/>
        <v>0.15158874721716251</v>
      </c>
      <c r="AE13" s="20">
        <f t="shared" si="6"/>
        <v>0.38685627120892224</v>
      </c>
      <c r="AG13" s="16">
        <f t="shared" si="12"/>
        <v>650.9399999999996</v>
      </c>
      <c r="AH13" s="20">
        <f t="shared" si="13"/>
        <v>0.17987929567034</v>
      </c>
    </row>
    <row r="14" spans="1:34" x14ac:dyDescent="0.2">
      <c r="A14" s="10">
        <v>46390</v>
      </c>
      <c r="B14" s="10">
        <v>46397</v>
      </c>
      <c r="D14" s="15">
        <f>+'[1]2026'!D8</f>
        <v>2790</v>
      </c>
      <c r="E14" s="15">
        <v>201</v>
      </c>
      <c r="F14" s="15">
        <v>50</v>
      </c>
      <c r="G14" s="15">
        <v>115</v>
      </c>
      <c r="I14" s="15">
        <f t="shared" si="7"/>
        <v>3041</v>
      </c>
      <c r="J14" s="15">
        <f t="shared" si="8"/>
        <v>2136.7600000000002</v>
      </c>
      <c r="K14" s="21">
        <f t="shared" si="9"/>
        <v>0.70265044393291687</v>
      </c>
      <c r="M14" s="15">
        <v>3090</v>
      </c>
      <c r="N14" s="15">
        <v>350</v>
      </c>
      <c r="O14" s="15">
        <v>90</v>
      </c>
      <c r="P14" s="15">
        <v>50</v>
      </c>
      <c r="Q14" s="15">
        <f t="shared" si="10"/>
        <v>22.5</v>
      </c>
      <c r="R14" s="15">
        <f t="shared" si="0"/>
        <v>61.800000000000004</v>
      </c>
      <c r="S14" s="15">
        <v>20</v>
      </c>
      <c r="T14" s="15">
        <v>15</v>
      </c>
      <c r="U14" s="15">
        <v>10</v>
      </c>
      <c r="W14" s="15">
        <f t="shared" si="1"/>
        <v>3090</v>
      </c>
      <c r="X14" s="15">
        <f t="shared" si="2"/>
        <v>2470.6999999999998</v>
      </c>
      <c r="Y14" s="21">
        <f t="shared" si="11"/>
        <v>0.79957928802588996</v>
      </c>
      <c r="AA14" s="15">
        <f t="shared" si="3"/>
        <v>49</v>
      </c>
      <c r="AB14" s="15">
        <f t="shared" si="4"/>
        <v>333.9399999999996</v>
      </c>
      <c r="AD14" s="21">
        <f t="shared" si="5"/>
        <v>1.611312068398553E-2</v>
      </c>
      <c r="AE14" s="21">
        <f t="shared" si="6"/>
        <v>0.15628334487729065</v>
      </c>
      <c r="AG14" s="15">
        <f t="shared" si="12"/>
        <v>284.9399999999996</v>
      </c>
      <c r="AH14" s="21">
        <f t="shared" si="13"/>
        <v>0.1333514292667401</v>
      </c>
    </row>
    <row r="15" spans="1:34" x14ac:dyDescent="0.2">
      <c r="A15" s="1">
        <v>46397</v>
      </c>
      <c r="B15" s="1">
        <v>46404</v>
      </c>
      <c r="D15" s="16">
        <f>+'[1]2026'!D9</f>
        <v>2990</v>
      </c>
      <c r="E15" s="16">
        <v>201</v>
      </c>
      <c r="F15" s="16">
        <v>50</v>
      </c>
      <c r="G15" s="16">
        <v>115</v>
      </c>
      <c r="I15" s="16">
        <f t="shared" si="7"/>
        <v>3241</v>
      </c>
      <c r="J15" s="16">
        <f t="shared" si="8"/>
        <v>2292.7600000000002</v>
      </c>
      <c r="K15" s="20">
        <f t="shared" si="9"/>
        <v>0.70742363468065417</v>
      </c>
      <c r="M15" s="16">
        <v>3290</v>
      </c>
      <c r="N15" s="16">
        <v>350</v>
      </c>
      <c r="O15" s="16">
        <v>90</v>
      </c>
      <c r="P15" s="16">
        <v>50</v>
      </c>
      <c r="Q15" s="16">
        <f>(90/4)</f>
        <v>22.5</v>
      </c>
      <c r="R15" s="16">
        <f t="shared" si="0"/>
        <v>65.8</v>
      </c>
      <c r="S15" s="16">
        <v>20</v>
      </c>
      <c r="T15" s="16">
        <v>15</v>
      </c>
      <c r="U15" s="16">
        <v>10</v>
      </c>
      <c r="W15" s="16">
        <f t="shared" si="1"/>
        <v>3290</v>
      </c>
      <c r="X15" s="16">
        <f t="shared" si="2"/>
        <v>2666.7</v>
      </c>
      <c r="Y15" s="20">
        <f t="shared" si="11"/>
        <v>0.81054711246200606</v>
      </c>
      <c r="AA15" s="16">
        <f t="shared" si="3"/>
        <v>49</v>
      </c>
      <c r="AB15" s="16">
        <f t="shared" si="4"/>
        <v>373.9399999999996</v>
      </c>
      <c r="AD15" s="20">
        <f t="shared" si="5"/>
        <v>1.511879049676026E-2</v>
      </c>
      <c r="AE15" s="20">
        <f t="shared" si="6"/>
        <v>0.16309600655977929</v>
      </c>
      <c r="AG15" s="16">
        <f t="shared" si="12"/>
        <v>324.9399999999996</v>
      </c>
      <c r="AH15" s="20">
        <f t="shared" si="13"/>
        <v>0.14172438458451803</v>
      </c>
    </row>
    <row r="16" spans="1:34" x14ac:dyDescent="0.2">
      <c r="A16" s="10">
        <v>46404</v>
      </c>
      <c r="B16" s="10">
        <v>46411</v>
      </c>
      <c r="D16" s="15">
        <f>+'[1]2026'!D10</f>
        <v>3290</v>
      </c>
      <c r="E16" s="15">
        <v>201</v>
      </c>
      <c r="F16" s="15">
        <v>50</v>
      </c>
      <c r="G16" s="15">
        <v>115</v>
      </c>
      <c r="I16" s="15">
        <f t="shared" si="7"/>
        <v>3541</v>
      </c>
      <c r="J16" s="15">
        <f t="shared" si="8"/>
        <v>2526.7600000000002</v>
      </c>
      <c r="K16" s="21">
        <f t="shared" si="9"/>
        <v>0.7135724371646428</v>
      </c>
      <c r="M16" s="15">
        <v>3650</v>
      </c>
      <c r="N16" s="15">
        <v>350</v>
      </c>
      <c r="O16" s="15">
        <v>90</v>
      </c>
      <c r="P16" s="15">
        <v>50</v>
      </c>
      <c r="Q16" s="15">
        <f t="shared" si="10"/>
        <v>22.5</v>
      </c>
      <c r="R16" s="15">
        <f t="shared" si="0"/>
        <v>73</v>
      </c>
      <c r="S16" s="15">
        <v>20</v>
      </c>
      <c r="T16" s="15">
        <v>15</v>
      </c>
      <c r="U16" s="15">
        <v>10</v>
      </c>
      <c r="W16" s="15">
        <f t="shared" si="1"/>
        <v>3650</v>
      </c>
      <c r="X16" s="15">
        <f t="shared" si="2"/>
        <v>3019.5</v>
      </c>
      <c r="Y16" s="21">
        <f t="shared" si="11"/>
        <v>0.82726027397260271</v>
      </c>
      <c r="AA16" s="15">
        <f t="shared" si="3"/>
        <v>109</v>
      </c>
      <c r="AB16" s="15">
        <f t="shared" si="4"/>
        <v>492.73999999999978</v>
      </c>
      <c r="AD16" s="21">
        <f t="shared" si="5"/>
        <v>3.0782264896921773E-2</v>
      </c>
      <c r="AE16" s="21">
        <f t="shared" si="6"/>
        <v>0.19500862764963817</v>
      </c>
      <c r="AG16" s="15">
        <f t="shared" si="12"/>
        <v>383.73999999999978</v>
      </c>
      <c r="AH16" s="21">
        <f t="shared" si="13"/>
        <v>0.1518703794582785</v>
      </c>
    </row>
    <row r="17" spans="1:34" x14ac:dyDescent="0.2">
      <c r="A17" s="1">
        <v>46411</v>
      </c>
      <c r="B17" s="1">
        <v>46418</v>
      </c>
      <c r="D17" s="16">
        <f>+'[1]2026'!D11</f>
        <v>3490</v>
      </c>
      <c r="E17" s="16">
        <v>201</v>
      </c>
      <c r="F17" s="16">
        <v>50</v>
      </c>
      <c r="G17" s="16">
        <v>115</v>
      </c>
      <c r="I17" s="16">
        <f t="shared" si="7"/>
        <v>3741</v>
      </c>
      <c r="J17" s="16">
        <f t="shared" si="8"/>
        <v>2682.76</v>
      </c>
      <c r="K17" s="20">
        <f t="shared" si="9"/>
        <v>0.71712376369954567</v>
      </c>
      <c r="M17" s="16">
        <v>3850</v>
      </c>
      <c r="N17" s="16">
        <v>350</v>
      </c>
      <c r="O17" s="16">
        <v>90</v>
      </c>
      <c r="P17" s="16">
        <v>50</v>
      </c>
      <c r="Q17" s="16">
        <f t="shared" si="10"/>
        <v>22.5</v>
      </c>
      <c r="R17" s="16">
        <f t="shared" si="0"/>
        <v>77</v>
      </c>
      <c r="S17" s="16">
        <v>20</v>
      </c>
      <c r="T17" s="16">
        <v>15</v>
      </c>
      <c r="U17" s="16">
        <v>10</v>
      </c>
      <c r="W17" s="16">
        <f t="shared" si="1"/>
        <v>3850</v>
      </c>
      <c r="X17" s="16">
        <f t="shared" si="2"/>
        <v>3215.5</v>
      </c>
      <c r="Y17" s="20">
        <f t="shared" si="11"/>
        <v>0.83519480519480516</v>
      </c>
      <c r="AA17" s="16">
        <f t="shared" si="3"/>
        <v>109</v>
      </c>
      <c r="AB17" s="16">
        <f t="shared" si="4"/>
        <v>532.73999999999978</v>
      </c>
      <c r="AD17" s="20">
        <f t="shared" si="5"/>
        <v>2.9136594493450949E-2</v>
      </c>
      <c r="AE17" s="20">
        <f t="shared" si="6"/>
        <v>0.198579075280681</v>
      </c>
      <c r="AG17" s="16">
        <f t="shared" si="12"/>
        <v>423.73999999999978</v>
      </c>
      <c r="AH17" s="20">
        <f t="shared" si="13"/>
        <v>0.157949276118624</v>
      </c>
    </row>
    <row r="18" spans="1:34" x14ac:dyDescent="0.2">
      <c r="A18" s="10">
        <v>46418</v>
      </c>
      <c r="B18" s="10">
        <v>46425</v>
      </c>
      <c r="D18" s="15">
        <f>+'[1]2026'!D12</f>
        <v>3490</v>
      </c>
      <c r="E18" s="15">
        <v>201</v>
      </c>
      <c r="F18" s="15">
        <v>50</v>
      </c>
      <c r="G18" s="15">
        <v>115</v>
      </c>
      <c r="I18" s="15">
        <f t="shared" si="7"/>
        <v>3741</v>
      </c>
      <c r="J18" s="15">
        <f t="shared" si="8"/>
        <v>2682.76</v>
      </c>
      <c r="K18" s="21">
        <f t="shared" si="9"/>
        <v>0.71712376369954567</v>
      </c>
      <c r="M18" s="15">
        <v>3990</v>
      </c>
      <c r="N18" s="15">
        <v>350</v>
      </c>
      <c r="O18" s="15">
        <v>90</v>
      </c>
      <c r="P18" s="15">
        <v>50</v>
      </c>
      <c r="Q18" s="15">
        <f t="shared" si="10"/>
        <v>22.5</v>
      </c>
      <c r="R18" s="15">
        <f t="shared" si="0"/>
        <v>79.8</v>
      </c>
      <c r="S18" s="15">
        <v>20</v>
      </c>
      <c r="T18" s="15">
        <v>15</v>
      </c>
      <c r="U18" s="15">
        <v>10</v>
      </c>
      <c r="W18" s="15">
        <f t="shared" si="1"/>
        <v>3990</v>
      </c>
      <c r="X18" s="15">
        <f t="shared" si="2"/>
        <v>3352.7</v>
      </c>
      <c r="Y18" s="21">
        <f t="shared" si="11"/>
        <v>0.84027568922305762</v>
      </c>
      <c r="AA18" s="15">
        <f t="shared" si="3"/>
        <v>249</v>
      </c>
      <c r="AB18" s="15">
        <f t="shared" si="4"/>
        <v>669.9399999999996</v>
      </c>
      <c r="AD18" s="21">
        <f t="shared" si="5"/>
        <v>6.6559743384121892E-2</v>
      </c>
      <c r="AE18" s="21">
        <f t="shared" si="6"/>
        <v>0.24972043716172879</v>
      </c>
      <c r="AG18" s="15">
        <f t="shared" si="12"/>
        <v>420.9399999999996</v>
      </c>
      <c r="AH18" s="21">
        <f t="shared" si="13"/>
        <v>0.15690557485574541</v>
      </c>
    </row>
    <row r="19" spans="1:34" x14ac:dyDescent="0.2">
      <c r="A19" s="1">
        <v>46425</v>
      </c>
      <c r="B19" s="1">
        <v>46432</v>
      </c>
      <c r="D19" s="16">
        <f>+'[1]2026'!D13</f>
        <v>4490</v>
      </c>
      <c r="E19" s="16">
        <v>201</v>
      </c>
      <c r="F19" s="16">
        <v>50</v>
      </c>
      <c r="G19" s="16">
        <v>115</v>
      </c>
      <c r="I19" s="16">
        <f t="shared" si="7"/>
        <v>4741</v>
      </c>
      <c r="J19" s="16">
        <f t="shared" si="8"/>
        <v>3462.76</v>
      </c>
      <c r="K19" s="20">
        <f t="shared" si="9"/>
        <v>0.73038599451592501</v>
      </c>
      <c r="M19" s="16">
        <v>5690</v>
      </c>
      <c r="N19" s="16">
        <v>350</v>
      </c>
      <c r="O19" s="16">
        <v>90</v>
      </c>
      <c r="P19" s="16">
        <v>50</v>
      </c>
      <c r="Q19" s="16">
        <f t="shared" si="10"/>
        <v>22.5</v>
      </c>
      <c r="R19" s="16">
        <f t="shared" si="0"/>
        <v>113.8</v>
      </c>
      <c r="S19" s="16">
        <v>20</v>
      </c>
      <c r="T19" s="16">
        <v>15</v>
      </c>
      <c r="U19" s="16">
        <v>10</v>
      </c>
      <c r="W19" s="16">
        <f t="shared" si="1"/>
        <v>5690</v>
      </c>
      <c r="X19" s="16">
        <f t="shared" si="2"/>
        <v>5018.7</v>
      </c>
      <c r="Y19" s="20">
        <f t="shared" si="11"/>
        <v>0.8820210896309314</v>
      </c>
      <c r="AA19" s="16">
        <f t="shared" si="3"/>
        <v>949</v>
      </c>
      <c r="AB19" s="16">
        <f t="shared" si="4"/>
        <v>1555.9399999999996</v>
      </c>
      <c r="AD19" s="20">
        <f t="shared" si="5"/>
        <v>0.20016874077198904</v>
      </c>
      <c r="AE19" s="20">
        <f t="shared" si="6"/>
        <v>0.44933521237394436</v>
      </c>
      <c r="AG19" s="16">
        <f t="shared" si="12"/>
        <v>606.9399999999996</v>
      </c>
      <c r="AH19" s="20">
        <f t="shared" si="13"/>
        <v>0.17527636913906813</v>
      </c>
    </row>
    <row r="20" spans="1:34" x14ac:dyDescent="0.2">
      <c r="A20" s="10">
        <v>46432</v>
      </c>
      <c r="B20" s="10">
        <v>46439</v>
      </c>
      <c r="D20" s="15">
        <f>+'[1]2026'!D14</f>
        <v>4690</v>
      </c>
      <c r="E20" s="15">
        <v>201</v>
      </c>
      <c r="F20" s="15">
        <v>50</v>
      </c>
      <c r="G20" s="15">
        <v>115</v>
      </c>
      <c r="I20" s="15">
        <f t="shared" si="7"/>
        <v>4941</v>
      </c>
      <c r="J20" s="15">
        <f t="shared" si="8"/>
        <v>3618.76</v>
      </c>
      <c r="K20" s="21">
        <f t="shared" si="9"/>
        <v>0.732394252175673</v>
      </c>
      <c r="M20" s="15">
        <v>5690</v>
      </c>
      <c r="N20" s="15">
        <v>350</v>
      </c>
      <c r="O20" s="15">
        <v>90</v>
      </c>
      <c r="P20" s="15">
        <v>50</v>
      </c>
      <c r="Q20" s="15">
        <f t="shared" si="10"/>
        <v>22.5</v>
      </c>
      <c r="R20" s="15">
        <f t="shared" si="0"/>
        <v>113.8</v>
      </c>
      <c r="S20" s="15">
        <v>20</v>
      </c>
      <c r="T20" s="15">
        <v>15</v>
      </c>
      <c r="U20" s="15">
        <v>10</v>
      </c>
      <c r="W20" s="15">
        <f t="shared" si="1"/>
        <v>5690</v>
      </c>
      <c r="X20" s="15">
        <f t="shared" si="2"/>
        <v>5018.7</v>
      </c>
      <c r="Y20" s="21">
        <f t="shared" si="11"/>
        <v>0.8820210896309314</v>
      </c>
      <c r="AA20" s="15">
        <f t="shared" si="3"/>
        <v>749</v>
      </c>
      <c r="AB20" s="15">
        <f t="shared" si="4"/>
        <v>1399.9399999999996</v>
      </c>
      <c r="AD20" s="21">
        <f t="shared" si="5"/>
        <v>0.15158874721716251</v>
      </c>
      <c r="AE20" s="21">
        <f t="shared" si="6"/>
        <v>0.38685627120892224</v>
      </c>
      <c r="AG20" s="15">
        <f t="shared" si="12"/>
        <v>650.9399999999996</v>
      </c>
      <c r="AH20" s="21">
        <f t="shared" si="13"/>
        <v>0.17987929567034</v>
      </c>
    </row>
    <row r="21" spans="1:34" x14ac:dyDescent="0.2">
      <c r="A21" s="1">
        <v>46439</v>
      </c>
      <c r="B21" s="1">
        <v>46446</v>
      </c>
      <c r="D21" s="16">
        <f>+'[1]2026'!D15</f>
        <v>4690</v>
      </c>
      <c r="E21" s="16">
        <v>201</v>
      </c>
      <c r="F21" s="16">
        <v>50</v>
      </c>
      <c r="G21" s="16">
        <v>115</v>
      </c>
      <c r="I21" s="16">
        <f t="shared" si="7"/>
        <v>4941</v>
      </c>
      <c r="J21" s="16">
        <f t="shared" si="8"/>
        <v>3618.76</v>
      </c>
      <c r="K21" s="20">
        <f t="shared" si="9"/>
        <v>0.732394252175673</v>
      </c>
      <c r="M21" s="16">
        <v>5690</v>
      </c>
      <c r="N21" s="16">
        <v>350</v>
      </c>
      <c r="O21" s="16">
        <v>90</v>
      </c>
      <c r="P21" s="16">
        <v>50</v>
      </c>
      <c r="Q21" s="16">
        <f t="shared" si="10"/>
        <v>22.5</v>
      </c>
      <c r="R21" s="16">
        <f t="shared" si="0"/>
        <v>113.8</v>
      </c>
      <c r="S21" s="16">
        <v>20</v>
      </c>
      <c r="T21" s="16">
        <v>15</v>
      </c>
      <c r="U21" s="16">
        <v>10</v>
      </c>
      <c r="W21" s="16">
        <f t="shared" si="1"/>
        <v>5690</v>
      </c>
      <c r="X21" s="16">
        <f t="shared" si="2"/>
        <v>5018.7</v>
      </c>
      <c r="Y21" s="20">
        <f t="shared" si="11"/>
        <v>0.8820210896309314</v>
      </c>
      <c r="AA21" s="16">
        <f t="shared" si="3"/>
        <v>749</v>
      </c>
      <c r="AB21" s="16">
        <f t="shared" si="4"/>
        <v>1399.9399999999996</v>
      </c>
      <c r="AD21" s="20">
        <f t="shared" si="5"/>
        <v>0.15158874721716251</v>
      </c>
      <c r="AE21" s="20">
        <f t="shared" si="6"/>
        <v>0.38685627120892224</v>
      </c>
      <c r="AG21" s="16">
        <f t="shared" si="12"/>
        <v>650.9399999999996</v>
      </c>
      <c r="AH21" s="20">
        <f t="shared" si="13"/>
        <v>0.17987929567034</v>
      </c>
    </row>
    <row r="22" spans="1:34" x14ac:dyDescent="0.2">
      <c r="A22" s="10">
        <v>46446</v>
      </c>
      <c r="B22" s="10">
        <v>46453</v>
      </c>
      <c r="D22" s="15">
        <f>+'[1]2026'!D16</f>
        <v>4690</v>
      </c>
      <c r="E22" s="15">
        <v>201</v>
      </c>
      <c r="F22" s="15">
        <v>50</v>
      </c>
      <c r="G22" s="15">
        <v>115</v>
      </c>
      <c r="I22" s="15">
        <f t="shared" si="7"/>
        <v>4941</v>
      </c>
      <c r="J22" s="15">
        <f t="shared" si="8"/>
        <v>3618.76</v>
      </c>
      <c r="K22" s="21">
        <f t="shared" si="9"/>
        <v>0.732394252175673</v>
      </c>
      <c r="M22" s="15">
        <v>5690</v>
      </c>
      <c r="N22" s="15">
        <v>350</v>
      </c>
      <c r="O22" s="15">
        <v>90</v>
      </c>
      <c r="P22" s="15">
        <v>50</v>
      </c>
      <c r="Q22" s="15">
        <f t="shared" si="10"/>
        <v>22.5</v>
      </c>
      <c r="R22" s="15">
        <f t="shared" si="0"/>
        <v>113.8</v>
      </c>
      <c r="S22" s="15">
        <v>20</v>
      </c>
      <c r="T22" s="15">
        <v>15</v>
      </c>
      <c r="U22" s="15">
        <v>10</v>
      </c>
      <c r="W22" s="15">
        <f t="shared" si="1"/>
        <v>5690</v>
      </c>
      <c r="X22" s="15">
        <f t="shared" si="2"/>
        <v>5018.7</v>
      </c>
      <c r="Y22" s="21">
        <f t="shared" si="11"/>
        <v>0.8820210896309314</v>
      </c>
      <c r="AA22" s="15">
        <f t="shared" si="3"/>
        <v>749</v>
      </c>
      <c r="AB22" s="15">
        <f t="shared" si="4"/>
        <v>1399.9399999999996</v>
      </c>
      <c r="AD22" s="21">
        <f t="shared" si="5"/>
        <v>0.15158874721716251</v>
      </c>
      <c r="AE22" s="21">
        <f t="shared" si="6"/>
        <v>0.38685627120892224</v>
      </c>
      <c r="AG22" s="15">
        <f t="shared" si="12"/>
        <v>650.9399999999996</v>
      </c>
      <c r="AH22" s="21">
        <f t="shared" si="13"/>
        <v>0.17987929567034</v>
      </c>
    </row>
    <row r="23" spans="1:34" x14ac:dyDescent="0.2">
      <c r="A23" s="1">
        <v>46453</v>
      </c>
      <c r="B23" s="1">
        <v>46460</v>
      </c>
      <c r="D23" s="16">
        <f>+'[1]2026'!D17</f>
        <v>3490</v>
      </c>
      <c r="E23" s="16">
        <v>201</v>
      </c>
      <c r="F23" s="16">
        <v>50</v>
      </c>
      <c r="G23" s="16">
        <v>115</v>
      </c>
      <c r="I23" s="16">
        <f t="shared" si="7"/>
        <v>3741</v>
      </c>
      <c r="J23" s="16">
        <f t="shared" si="8"/>
        <v>2682.76</v>
      </c>
      <c r="K23" s="20">
        <f t="shared" si="9"/>
        <v>0.71712376369954567</v>
      </c>
      <c r="M23" s="16">
        <v>3890</v>
      </c>
      <c r="N23" s="16">
        <v>350</v>
      </c>
      <c r="O23" s="16">
        <v>90</v>
      </c>
      <c r="P23" s="16">
        <v>50</v>
      </c>
      <c r="Q23" s="16">
        <f t="shared" si="10"/>
        <v>22.5</v>
      </c>
      <c r="R23" s="16">
        <f t="shared" si="0"/>
        <v>77.8</v>
      </c>
      <c r="S23" s="16">
        <v>20</v>
      </c>
      <c r="T23" s="16">
        <v>15</v>
      </c>
      <c r="U23" s="16">
        <v>10</v>
      </c>
      <c r="W23" s="16">
        <f t="shared" si="1"/>
        <v>3890</v>
      </c>
      <c r="X23" s="16">
        <f t="shared" si="2"/>
        <v>3254.7</v>
      </c>
      <c r="Y23" s="20">
        <f t="shared" si="11"/>
        <v>0.83668380462724934</v>
      </c>
      <c r="AA23" s="16">
        <f t="shared" si="3"/>
        <v>149</v>
      </c>
      <c r="AB23" s="16">
        <f t="shared" si="4"/>
        <v>571.9399999999996</v>
      </c>
      <c r="AD23" s="20">
        <f t="shared" si="5"/>
        <v>3.9828922747928361E-2</v>
      </c>
      <c r="AE23" s="20">
        <f t="shared" si="6"/>
        <v>0.21319089296098032</v>
      </c>
      <c r="AG23" s="16">
        <f t="shared" si="12"/>
        <v>422.9399999999996</v>
      </c>
      <c r="AH23" s="20">
        <f t="shared" si="13"/>
        <v>0.15765107575780152</v>
      </c>
    </row>
    <row r="24" spans="1:34" x14ac:dyDescent="0.2">
      <c r="A24" s="10">
        <v>46460</v>
      </c>
      <c r="B24" s="10">
        <v>46467</v>
      </c>
      <c r="D24" s="15">
        <f>+'[1]2026'!D18</f>
        <v>2990</v>
      </c>
      <c r="E24" s="15">
        <v>201</v>
      </c>
      <c r="F24" s="15">
        <v>50</v>
      </c>
      <c r="G24" s="15">
        <v>115</v>
      </c>
      <c r="I24" s="15">
        <f t="shared" si="7"/>
        <v>3241</v>
      </c>
      <c r="J24" s="15">
        <f t="shared" si="8"/>
        <v>2292.7600000000002</v>
      </c>
      <c r="K24" s="21">
        <f t="shared" si="9"/>
        <v>0.70742363468065417</v>
      </c>
      <c r="M24" s="15">
        <v>3390</v>
      </c>
      <c r="N24" s="15">
        <v>350</v>
      </c>
      <c r="O24" s="15">
        <v>90</v>
      </c>
      <c r="P24" s="15">
        <v>50</v>
      </c>
      <c r="Q24" s="15">
        <f t="shared" si="10"/>
        <v>22.5</v>
      </c>
      <c r="R24" s="15">
        <f t="shared" si="0"/>
        <v>67.8</v>
      </c>
      <c r="S24" s="15">
        <v>20</v>
      </c>
      <c r="T24" s="15">
        <v>15</v>
      </c>
      <c r="U24" s="15">
        <v>10</v>
      </c>
      <c r="W24" s="15">
        <f t="shared" si="1"/>
        <v>3390</v>
      </c>
      <c r="X24" s="15">
        <f t="shared" si="2"/>
        <v>2764.7</v>
      </c>
      <c r="Y24" s="21">
        <f t="shared" si="11"/>
        <v>0.81554572271386427</v>
      </c>
      <c r="AA24" s="15">
        <f t="shared" si="3"/>
        <v>149</v>
      </c>
      <c r="AB24" s="15">
        <f t="shared" si="4"/>
        <v>471.9399999999996</v>
      </c>
      <c r="AD24" s="21">
        <f t="shared" si="5"/>
        <v>4.5973464979944464E-2</v>
      </c>
      <c r="AE24" s="21">
        <f t="shared" si="6"/>
        <v>0.2058392505103018</v>
      </c>
      <c r="AG24" s="15">
        <f t="shared" si="12"/>
        <v>322.9399999999996</v>
      </c>
      <c r="AH24" s="21">
        <f t="shared" si="13"/>
        <v>0.14085207348348697</v>
      </c>
    </row>
    <row r="25" spans="1:34" x14ac:dyDescent="0.2">
      <c r="A25" s="1">
        <v>46467</v>
      </c>
      <c r="B25" s="1">
        <v>46474</v>
      </c>
      <c r="D25" s="16">
        <f>+'[1]2026'!D19</f>
        <v>2590</v>
      </c>
      <c r="E25" s="16">
        <v>201</v>
      </c>
      <c r="F25" s="16">
        <v>50</v>
      </c>
      <c r="G25" s="16">
        <v>115</v>
      </c>
      <c r="I25" s="16">
        <f t="shared" si="7"/>
        <v>2841</v>
      </c>
      <c r="J25" s="16">
        <f t="shared" si="8"/>
        <v>1980.76</v>
      </c>
      <c r="K25" s="20">
        <f t="shared" si="9"/>
        <v>0.69720520943329811</v>
      </c>
      <c r="M25" s="16">
        <v>2990</v>
      </c>
      <c r="N25" s="16">
        <v>350</v>
      </c>
      <c r="O25" s="16">
        <v>90</v>
      </c>
      <c r="P25" s="16">
        <v>50</v>
      </c>
      <c r="Q25" s="16">
        <f t="shared" si="10"/>
        <v>22.5</v>
      </c>
      <c r="R25" s="16">
        <f t="shared" si="0"/>
        <v>59.800000000000004</v>
      </c>
      <c r="S25" s="16">
        <v>20</v>
      </c>
      <c r="T25" s="16">
        <v>15</v>
      </c>
      <c r="U25" s="16">
        <v>10</v>
      </c>
      <c r="W25" s="16">
        <f t="shared" si="1"/>
        <v>2990</v>
      </c>
      <c r="X25" s="16">
        <f t="shared" si="2"/>
        <v>2372.6999999999998</v>
      </c>
      <c r="Y25" s="20">
        <f t="shared" si="11"/>
        <v>0.79354515050167218</v>
      </c>
      <c r="AA25" s="16">
        <f t="shared" si="3"/>
        <v>149</v>
      </c>
      <c r="AB25" s="16">
        <f t="shared" si="4"/>
        <v>391.93999999999983</v>
      </c>
      <c r="AD25" s="20">
        <f t="shared" si="5"/>
        <v>5.2446321717705031E-2</v>
      </c>
      <c r="AE25" s="20">
        <f t="shared" si="6"/>
        <v>0.19787354348835792</v>
      </c>
      <c r="AG25" s="16">
        <f t="shared" si="12"/>
        <v>242.93999999999983</v>
      </c>
      <c r="AH25" s="20">
        <f t="shared" si="13"/>
        <v>0.12264989196066148</v>
      </c>
    </row>
    <row r="26" spans="1:34" x14ac:dyDescent="0.2">
      <c r="A26" s="10">
        <v>46474</v>
      </c>
      <c r="B26" s="10">
        <v>46481</v>
      </c>
      <c r="D26" s="15">
        <f>+'[1]2026'!D20</f>
        <v>2590</v>
      </c>
      <c r="E26" s="15">
        <v>201</v>
      </c>
      <c r="F26" s="15">
        <v>50</v>
      </c>
      <c r="G26" s="15">
        <v>115</v>
      </c>
      <c r="I26" s="15">
        <f>+F26+E26+D26</f>
        <v>2841</v>
      </c>
      <c r="J26" s="15">
        <f t="shared" si="8"/>
        <v>1980.76</v>
      </c>
      <c r="K26" s="21">
        <f t="shared" si="9"/>
        <v>0.69720520943329811</v>
      </c>
      <c r="M26" s="15">
        <v>3390</v>
      </c>
      <c r="N26" s="15">
        <v>350</v>
      </c>
      <c r="O26" s="15">
        <v>90</v>
      </c>
      <c r="P26" s="15">
        <v>50</v>
      </c>
      <c r="Q26" s="15">
        <f t="shared" si="10"/>
        <v>22.5</v>
      </c>
      <c r="R26" s="15">
        <f t="shared" si="0"/>
        <v>67.8</v>
      </c>
      <c r="S26" s="15">
        <v>20</v>
      </c>
      <c r="T26" s="15">
        <v>15</v>
      </c>
      <c r="U26" s="15">
        <v>10</v>
      </c>
      <c r="W26" s="15">
        <f t="shared" si="1"/>
        <v>3390</v>
      </c>
      <c r="X26" s="15">
        <f t="shared" si="2"/>
        <v>2764.7</v>
      </c>
      <c r="Y26" s="21">
        <f t="shared" si="11"/>
        <v>0.81554572271386427</v>
      </c>
      <c r="AA26" s="15">
        <f t="shared" si="3"/>
        <v>549</v>
      </c>
      <c r="AB26" s="15">
        <f t="shared" si="4"/>
        <v>783.93999999999983</v>
      </c>
      <c r="AD26" s="21">
        <f t="shared" si="5"/>
        <v>0.19324181626187961</v>
      </c>
      <c r="AE26" s="21">
        <f t="shared" si="6"/>
        <v>0.39577737838001564</v>
      </c>
      <c r="AG26" s="15">
        <f t="shared" si="12"/>
        <v>234.93999999999983</v>
      </c>
      <c r="AH26" s="21">
        <f t="shared" si="13"/>
        <v>0.11861103818736234</v>
      </c>
    </row>
    <row r="27" spans="1:34" x14ac:dyDescent="0.2">
      <c r="A27" s="1">
        <v>46481</v>
      </c>
      <c r="B27" s="1">
        <v>46488</v>
      </c>
      <c r="D27" s="16">
        <f>+'[1]2026'!D21</f>
        <v>2990</v>
      </c>
      <c r="E27" s="16">
        <v>201</v>
      </c>
      <c r="F27" s="16">
        <v>50</v>
      </c>
      <c r="G27" s="16">
        <v>115</v>
      </c>
      <c r="I27" s="16">
        <f t="shared" si="7"/>
        <v>3241</v>
      </c>
      <c r="J27" s="16">
        <f t="shared" si="8"/>
        <v>2292.7600000000002</v>
      </c>
      <c r="K27" s="20">
        <f t="shared" si="9"/>
        <v>0.70742363468065417</v>
      </c>
      <c r="M27" s="16">
        <v>3390</v>
      </c>
      <c r="N27" s="16">
        <v>350</v>
      </c>
      <c r="O27" s="16">
        <v>90</v>
      </c>
      <c r="P27" s="16">
        <v>50</v>
      </c>
      <c r="Q27" s="16">
        <f t="shared" si="10"/>
        <v>22.5</v>
      </c>
      <c r="R27" s="16">
        <f t="shared" si="0"/>
        <v>67.8</v>
      </c>
      <c r="S27" s="16">
        <v>20</v>
      </c>
      <c r="T27" s="16">
        <v>15</v>
      </c>
      <c r="U27" s="16">
        <v>10</v>
      </c>
      <c r="W27" s="16">
        <f t="shared" si="1"/>
        <v>3390</v>
      </c>
      <c r="X27" s="16">
        <f t="shared" si="2"/>
        <v>2764.7</v>
      </c>
      <c r="Y27" s="20">
        <f t="shared" si="11"/>
        <v>0.81554572271386427</v>
      </c>
      <c r="AA27" s="16">
        <f t="shared" si="3"/>
        <v>149</v>
      </c>
      <c r="AB27" s="16">
        <f t="shared" si="4"/>
        <v>471.9399999999996</v>
      </c>
      <c r="AD27" s="20">
        <f t="shared" si="5"/>
        <v>4.5973464979944464E-2</v>
      </c>
      <c r="AE27" s="20">
        <f t="shared" si="6"/>
        <v>0.2058392505103018</v>
      </c>
      <c r="AG27" s="16">
        <f t="shared" si="12"/>
        <v>322.9399999999996</v>
      </c>
      <c r="AH27" s="20">
        <f t="shared" si="13"/>
        <v>0.14085207348348697</v>
      </c>
    </row>
    <row r="28" spans="1:34" x14ac:dyDescent="0.2">
      <c r="A28" s="10">
        <v>46488</v>
      </c>
      <c r="B28" s="10">
        <v>46495</v>
      </c>
      <c r="D28" s="15">
        <f>+'[1]2026'!D22</f>
        <v>2290</v>
      </c>
      <c r="E28" s="15">
        <v>201</v>
      </c>
      <c r="F28" s="15">
        <v>50</v>
      </c>
      <c r="G28" s="15">
        <v>115</v>
      </c>
      <c r="I28" s="15">
        <f t="shared" si="7"/>
        <v>2541</v>
      </c>
      <c r="J28" s="15">
        <f t="shared" si="8"/>
        <v>1746.76</v>
      </c>
      <c r="K28" s="21">
        <f t="shared" si="9"/>
        <v>0.68743014561196381</v>
      </c>
      <c r="M28" s="15">
        <v>2690</v>
      </c>
      <c r="N28" s="15">
        <v>350</v>
      </c>
      <c r="O28" s="15">
        <v>90</v>
      </c>
      <c r="P28" s="15">
        <v>50</v>
      </c>
      <c r="Q28" s="15">
        <f t="shared" si="10"/>
        <v>22.5</v>
      </c>
      <c r="R28" s="15">
        <f t="shared" si="0"/>
        <v>53.800000000000004</v>
      </c>
      <c r="S28" s="15">
        <v>20</v>
      </c>
      <c r="T28" s="15">
        <v>15</v>
      </c>
      <c r="U28" s="15">
        <v>10</v>
      </c>
      <c r="W28" s="15">
        <f t="shared" si="1"/>
        <v>2690</v>
      </c>
      <c r="X28" s="15">
        <f t="shared" si="2"/>
        <v>2078.6999999999998</v>
      </c>
      <c r="Y28" s="21">
        <f t="shared" si="11"/>
        <v>0.77275092936802969</v>
      </c>
      <c r="AA28" s="15">
        <f t="shared" si="3"/>
        <v>149</v>
      </c>
      <c r="AB28" s="15">
        <f t="shared" si="4"/>
        <v>331.93999999999983</v>
      </c>
      <c r="AD28" s="21">
        <f t="shared" si="5"/>
        <v>5.8638331365604091E-2</v>
      </c>
      <c r="AE28" s="21">
        <f t="shared" si="6"/>
        <v>0.19003183036020965</v>
      </c>
      <c r="AG28" s="15">
        <f t="shared" si="12"/>
        <v>182.94000000000005</v>
      </c>
      <c r="AH28" s="21">
        <f t="shared" si="13"/>
        <v>0.10473104490599743</v>
      </c>
    </row>
    <row r="29" spans="1:34" x14ac:dyDescent="0.2">
      <c r="A29" s="1">
        <v>46495</v>
      </c>
      <c r="B29" s="1">
        <v>46502</v>
      </c>
      <c r="D29" s="16">
        <f>+'[1]2026'!D23</f>
        <v>1990</v>
      </c>
      <c r="E29" s="16">
        <v>201</v>
      </c>
      <c r="F29" s="16">
        <v>50</v>
      </c>
      <c r="G29" s="16">
        <v>115</v>
      </c>
      <c r="I29" s="16">
        <f t="shared" si="7"/>
        <v>2241</v>
      </c>
      <c r="J29" s="16">
        <f t="shared" si="8"/>
        <v>1512.76</v>
      </c>
      <c r="K29" s="20">
        <f t="shared" si="9"/>
        <v>0.6750379294957608</v>
      </c>
      <c r="M29" s="16">
        <v>2390</v>
      </c>
      <c r="N29" s="16">
        <v>350</v>
      </c>
      <c r="O29" s="16">
        <v>90</v>
      </c>
      <c r="P29" s="16">
        <v>50</v>
      </c>
      <c r="Q29" s="16">
        <f t="shared" si="10"/>
        <v>22.5</v>
      </c>
      <c r="R29" s="16">
        <f t="shared" si="0"/>
        <v>47.800000000000004</v>
      </c>
      <c r="S29" s="16">
        <v>20</v>
      </c>
      <c r="T29" s="16">
        <v>15</v>
      </c>
      <c r="U29" s="16">
        <v>10</v>
      </c>
      <c r="W29" s="16">
        <f t="shared" si="1"/>
        <v>2390</v>
      </c>
      <c r="X29" s="16">
        <f t="shared" si="2"/>
        <v>1784.7</v>
      </c>
      <c r="Y29" s="20">
        <f t="shared" si="11"/>
        <v>0.74673640167364019</v>
      </c>
      <c r="AA29" s="16">
        <f t="shared" si="3"/>
        <v>149</v>
      </c>
      <c r="AB29" s="16">
        <f t="shared" si="4"/>
        <v>271.94000000000005</v>
      </c>
      <c r="AD29" s="20">
        <f t="shared" si="5"/>
        <v>6.6488174921909865E-2</v>
      </c>
      <c r="AE29" s="20">
        <f t="shared" si="6"/>
        <v>0.17976413971813113</v>
      </c>
      <c r="AG29" s="16">
        <f t="shared" si="12"/>
        <v>122.94000000000005</v>
      </c>
      <c r="AH29" s="20">
        <f t="shared" si="13"/>
        <v>8.1268674475792627E-2</v>
      </c>
    </row>
    <row r="30" spans="1:34" ht="4.25" customHeight="1" x14ac:dyDescent="0.2">
      <c r="A30" s="1"/>
      <c r="B30" s="1"/>
      <c r="D30" s="25"/>
      <c r="E30" s="25"/>
      <c r="F30" s="25"/>
      <c r="G30" s="25"/>
      <c r="I30" s="25"/>
      <c r="J30" s="25"/>
      <c r="K30" s="20"/>
      <c r="M30" s="25"/>
      <c r="N30" s="25"/>
      <c r="O30" s="25"/>
      <c r="P30" s="25"/>
      <c r="Q30" s="25"/>
      <c r="R30" s="25"/>
      <c r="S30" s="25"/>
      <c r="T30" s="25"/>
      <c r="U30" s="25"/>
      <c r="W30" s="25"/>
      <c r="X30" s="25"/>
      <c r="Y30" s="20"/>
      <c r="AA30" s="25"/>
      <c r="AB30" s="25"/>
      <c r="AD30" s="20"/>
      <c r="AE30" s="20"/>
      <c r="AG30" s="25"/>
      <c r="AH30" s="25"/>
    </row>
    <row r="31" spans="1:34" x14ac:dyDescent="0.2">
      <c r="A31" s="1"/>
      <c r="B31" s="1" t="s">
        <v>54</v>
      </c>
      <c r="D31" s="16">
        <f>+SUM(D11:D30)</f>
        <v>65310</v>
      </c>
      <c r="E31" s="16">
        <f>+SUM(E11:E30)</f>
        <v>3819</v>
      </c>
      <c r="F31" s="16">
        <f>+SUM(F11:F30)</f>
        <v>950</v>
      </c>
      <c r="G31" s="16">
        <f>+SUM(G11:G30)</f>
        <v>2185</v>
      </c>
      <c r="I31" s="16">
        <f>+SUM(I11:I30)</f>
        <v>70079</v>
      </c>
      <c r="J31" s="16">
        <f>+SUM(J11:J30)</f>
        <v>50192.440000000024</v>
      </c>
      <c r="K31" s="20"/>
      <c r="M31" s="16">
        <f t="shared" ref="M31:U31" si="14">+SUM(M11:M30)</f>
        <v>76930</v>
      </c>
      <c r="N31" s="16">
        <f t="shared" si="14"/>
        <v>6650</v>
      </c>
      <c r="O31" s="16">
        <f t="shared" si="14"/>
        <v>1710</v>
      </c>
      <c r="P31" s="16">
        <f t="shared" si="14"/>
        <v>950</v>
      </c>
      <c r="Q31" s="16">
        <f t="shared" si="14"/>
        <v>427.5</v>
      </c>
      <c r="R31" s="16">
        <f t="shared" si="14"/>
        <v>1538.5999999999995</v>
      </c>
      <c r="S31" s="16">
        <f t="shared" si="14"/>
        <v>380</v>
      </c>
      <c r="T31" s="16">
        <f t="shared" si="14"/>
        <v>285</v>
      </c>
      <c r="U31" s="16">
        <f t="shared" si="14"/>
        <v>190</v>
      </c>
      <c r="W31" s="16">
        <f>+SUM(W11:W30)</f>
        <v>76930</v>
      </c>
      <c r="X31" s="16">
        <f>+SUM(X11:X30)</f>
        <v>64798.899999999972</v>
      </c>
      <c r="Y31" s="20"/>
      <c r="AA31" s="16">
        <f>+SUM(AA11:AA30)</f>
        <v>6851</v>
      </c>
      <c r="AB31" s="16">
        <f>+SUM(AB11:AB30)</f>
        <v>14606.459999999992</v>
      </c>
      <c r="AD31" s="20"/>
      <c r="AE31" s="20"/>
      <c r="AG31" s="16">
        <f>+SUM(AG11:AG30)</f>
        <v>7755.4599999999937</v>
      </c>
      <c r="AH31" s="27">
        <f t="shared" si="13"/>
        <v>0.15451450457479202</v>
      </c>
    </row>
    <row r="32" spans="1:34" x14ac:dyDescent="0.2">
      <c r="E32" s="16"/>
      <c r="F32" s="16"/>
      <c r="G32" s="16"/>
      <c r="AD32" s="22"/>
      <c r="AE32" s="22"/>
    </row>
    <row r="33" spans="1:1" x14ac:dyDescent="0.2">
      <c r="A33" s="17" t="s">
        <v>11</v>
      </c>
    </row>
    <row r="34" spans="1:1" x14ac:dyDescent="0.2">
      <c r="A34" t="s">
        <v>12</v>
      </c>
    </row>
    <row r="35" spans="1:1" x14ac:dyDescent="0.2">
      <c r="A35" s="17" t="s">
        <v>22</v>
      </c>
    </row>
    <row r="36" spans="1:1" x14ac:dyDescent="0.2">
      <c r="A36" s="17" t="s">
        <v>52</v>
      </c>
    </row>
    <row r="37" spans="1:1" x14ac:dyDescent="0.2">
      <c r="A37" s="17" t="s">
        <v>29</v>
      </c>
    </row>
    <row r="38" spans="1:1" x14ac:dyDescent="0.2">
      <c r="A38" s="17" t="s">
        <v>31</v>
      </c>
    </row>
    <row r="39" spans="1:1" x14ac:dyDescent="0.2">
      <c r="A39" s="17" t="s">
        <v>33</v>
      </c>
    </row>
    <row r="40" spans="1:1" x14ac:dyDescent="0.2">
      <c r="A40" s="17" t="s">
        <v>60</v>
      </c>
    </row>
    <row r="41" spans="1:1" x14ac:dyDescent="0.2">
      <c r="A41" s="1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E17B-5DE3-4BC4-8391-CC1ED4A1D230}">
  <dimension ref="A2:A10"/>
  <sheetViews>
    <sheetView workbookViewId="0">
      <selection activeCell="A5" sqref="A5"/>
    </sheetView>
  </sheetViews>
  <sheetFormatPr baseColWidth="10" defaultColWidth="10.83203125" defaultRowHeight="15" x14ac:dyDescent="0.2"/>
  <sheetData>
    <row r="2" spans="1:1" x14ac:dyDescent="0.2">
      <c r="A2" t="s">
        <v>19</v>
      </c>
    </row>
    <row r="3" spans="1:1" x14ac:dyDescent="0.2">
      <c r="A3" t="s">
        <v>17</v>
      </c>
    </row>
    <row r="4" spans="1:1" x14ac:dyDescent="0.2">
      <c r="A4" t="s">
        <v>48</v>
      </c>
    </row>
    <row r="5" spans="1:1" x14ac:dyDescent="0.2">
      <c r="A5" t="s">
        <v>18</v>
      </c>
    </row>
    <row r="6" spans="1:1" x14ac:dyDescent="0.2">
      <c r="A6" t="s">
        <v>20</v>
      </c>
    </row>
    <row r="7" spans="1:1" x14ac:dyDescent="0.2">
      <c r="A7" t="s">
        <v>25</v>
      </c>
    </row>
    <row r="8" spans="1:1" x14ac:dyDescent="0.2">
      <c r="A8" t="s">
        <v>26</v>
      </c>
    </row>
    <row r="10" spans="1:1" x14ac:dyDescent="0.2">
      <c r="A10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0C7A-6B47-40D1-ABDF-D9698BD34EAA}">
  <dimension ref="A2:A12"/>
  <sheetViews>
    <sheetView workbookViewId="0">
      <selection activeCell="A14" sqref="A14"/>
    </sheetView>
  </sheetViews>
  <sheetFormatPr baseColWidth="10" defaultColWidth="10.83203125" defaultRowHeight="15" x14ac:dyDescent="0.2"/>
  <sheetData>
    <row r="2" spans="1:1" x14ac:dyDescent="0.2">
      <c r="A2" t="s">
        <v>43</v>
      </c>
    </row>
    <row r="3" spans="1:1" x14ac:dyDescent="0.2">
      <c r="A3" s="17" t="s">
        <v>44</v>
      </c>
    </row>
    <row r="4" spans="1:1" x14ac:dyDescent="0.2">
      <c r="A4" s="17" t="s">
        <v>45</v>
      </c>
    </row>
    <row r="6" spans="1:1" x14ac:dyDescent="0.2">
      <c r="A6" t="s">
        <v>46</v>
      </c>
    </row>
    <row r="8" spans="1:1" x14ac:dyDescent="0.2">
      <c r="A8" t="s">
        <v>47</v>
      </c>
    </row>
    <row r="9" spans="1:1" x14ac:dyDescent="0.2">
      <c r="A9" s="17" t="s">
        <v>50</v>
      </c>
    </row>
    <row r="10" spans="1:1" x14ac:dyDescent="0.2">
      <c r="A10" s="17" t="s">
        <v>51</v>
      </c>
    </row>
    <row r="12" spans="1:1" x14ac:dyDescent="0.2">
      <c r="A12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Tarifs 2027</vt:lpstr>
      <vt:lpstr>Prop tarifs Alp Agence</vt:lpstr>
      <vt:lpstr>Simulations hors agence</vt:lpstr>
      <vt:lpstr>Questions Snow</vt:lpstr>
      <vt:lpstr>A faire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P10</dc:creator>
  <cp:lastModifiedBy>Rémi BARBIER</cp:lastModifiedBy>
  <dcterms:created xsi:type="dcterms:W3CDTF">2022-07-07T08:56:05Z</dcterms:created>
  <dcterms:modified xsi:type="dcterms:W3CDTF">2026-06-27T13:48:22Z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2023-03-13T21:15:52Z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14f7e37f-5381-482f-bbfa-5d3b000f16b2</vt:lpwstr>
  </property>
  <property fmtid="{D5CDD505-2E9C-101B-9397-08002B2CF9AE}" pid="8" name="MSIP_Label_e6c818a6-e1a0-4a6e-a969-20d857c5dc62_ContentBits">
    <vt:lpwstr>2</vt:lpwstr>
  </property>
</Properties>
</file>